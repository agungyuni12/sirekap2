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 Semua PPL" sheetId="1" state="visible" r:id="rId1"/>
    <sheet xmlns:r="http://schemas.openxmlformats.org/officeDocument/2006/relationships" name="OPHIYANSYAH ACHRUL PUTRA" sheetId="2" state="visible" r:id="rId2"/>
    <sheet xmlns:r="http://schemas.openxmlformats.org/officeDocument/2006/relationships" name="Adetya Anhar" sheetId="3" state="visible" r:id="rId3"/>
    <sheet xmlns:r="http://schemas.openxmlformats.org/officeDocument/2006/relationships" name="ARI APRIADI" sheetId="4" state="visible" r:id="rId4"/>
    <sheet xmlns:r="http://schemas.openxmlformats.org/officeDocument/2006/relationships" name="Aminullah" sheetId="5" state="visible" r:id="rId5"/>
    <sheet xmlns:r="http://schemas.openxmlformats.org/officeDocument/2006/relationships" name="Waliey muftihakam marza karyad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b val="1"/>
      <sz val="8"/>
    </font>
    <font>
      <sz val="11"/>
    </font>
    <font>
      <sz val="10"/>
    </font>
    <font>
      <b val="1"/>
      <color rgb="009C6500"/>
      <sz val="9"/>
    </font>
    <font>
      <color rgb="00000000"/>
      <sz val="9"/>
    </font>
    <font>
      <b val="1"/>
      <sz val="11"/>
    </font>
    <font>
      <b val="1"/>
      <color rgb="FF000000"/>
      <sz val="11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FF000000"/>
        <bgColor rgb="FF000000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1"/>
    <row r="2" ht="24" customHeight="1">
      <c r="B2" s="1" t="inlineStr">
        <is>
          <t>Beban Kerja Petugas Lapangan SE2026 - LK PPK Termin 1 (BATCH 3, REKAP)</t>
        </is>
      </c>
    </row>
    <row r="3" ht="24" customHeight="1">
      <c r="B3" s="1" t="inlineStr">
        <is>
          <t>Kabupaten Dompu, NTB — Realisasi Jumlah dari Fasih (selain Open &amp; Draft)</t>
        </is>
      </c>
    </row>
    <row r="4"/>
    <row r="5" ht="30.95" customHeight="1">
      <c r="B5" s="2" t="inlineStr">
        <is>
          <t>No</t>
        </is>
      </c>
      <c r="C5" s="2" t="inlineStr">
        <is>
          <t>PML</t>
        </is>
      </c>
      <c r="D5" s="14" t="n"/>
      <c r="E5" s="2" t="inlineStr">
        <is>
          <t>PPL</t>
        </is>
      </c>
      <c r="F5" s="14" t="n"/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K5" s="13" t="n"/>
      <c r="L5" s="14" t="n"/>
      <c r="M5" s="2" t="inlineStr">
        <is>
          <t>Realisasi</t>
        </is>
      </c>
      <c r="N5" s="13" t="n"/>
      <c r="O5" s="14" t="n"/>
      <c r="P5" s="2" t="inlineStr">
        <is>
          <t>Persentase (%)</t>
        </is>
      </c>
      <c r="Q5" s="2" t="inlineStr">
        <is>
          <t>Keterangan</t>
        </is>
      </c>
    </row>
    <row r="6" ht="20.45" customHeight="1">
      <c r="B6" s="18" t="n"/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G6" s="18" t="n"/>
      <c r="H6" s="18" t="n"/>
      <c r="I6" s="18" t="n"/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  <c r="P6" s="18" t="n"/>
      <c r="Q6" s="18" t="n"/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Syahril Sidik</t>
        </is>
      </c>
      <c r="D8" s="6" t="inlineStr">
        <is>
          <t>520523050009</t>
        </is>
      </c>
      <c r="E8" s="5" t="inlineStr">
        <is>
          <t>OPHIYANSYAH ACHRUL PUTRA</t>
        </is>
      </c>
      <c r="F8" s="6" t="inlineStr">
        <is>
          <t>520525110180</t>
        </is>
      </c>
      <c r="G8" s="4" t="inlineStr">
        <is>
          <t>051</t>
        </is>
      </c>
      <c r="H8" s="4" t="inlineStr">
        <is>
          <t>003</t>
        </is>
      </c>
      <c r="I8" s="4" t="inlineStr">
        <is>
          <t>000100</t>
        </is>
      </c>
      <c r="J8" s="4" t="n">
        <v>58</v>
      </c>
      <c r="K8" s="4" t="n">
        <v>22</v>
      </c>
      <c r="L8" s="4">
        <f>J8+K8</f>
        <v/>
      </c>
      <c r="M8" s="4" t="n">
        <v>58</v>
      </c>
      <c r="N8" s="4">
        <f>O8-M8</f>
        <v/>
      </c>
      <c r="O8" s="4" t="n">
        <v>83</v>
      </c>
      <c r="P8" s="4">
        <f>IF(L8=0,100,O8/L8*100)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Syahril Sidik</t>
        </is>
      </c>
      <c r="D9" s="6" t="inlineStr">
        <is>
          <t>520523050009</t>
        </is>
      </c>
      <c r="E9" s="5" t="inlineStr">
        <is>
          <t>OPHIYANSYAH ACHRUL PUTRA</t>
        </is>
      </c>
      <c r="F9" s="6" t="inlineStr">
        <is>
          <t>520525110180</t>
        </is>
      </c>
      <c r="G9" s="4" t="inlineStr">
        <is>
          <t>051</t>
        </is>
      </c>
      <c r="H9" s="4" t="inlineStr">
        <is>
          <t>003</t>
        </is>
      </c>
      <c r="I9" s="4" t="inlineStr">
        <is>
          <t>000200</t>
        </is>
      </c>
      <c r="J9" s="4" t="n">
        <v>77</v>
      </c>
      <c r="K9" s="4" t="n">
        <v>32</v>
      </c>
      <c r="L9" s="4">
        <f>J9+K9</f>
        <v/>
      </c>
      <c r="M9" s="4" t="n">
        <v>80</v>
      </c>
      <c r="N9" s="4">
        <f>O9-M9</f>
        <v/>
      </c>
      <c r="O9" s="4" t="n">
        <v>115</v>
      </c>
      <c r="P9" s="4">
        <f>IF(L9=0,100,O9/L9*100)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Syahril Sidik</t>
        </is>
      </c>
      <c r="D10" s="6" t="inlineStr">
        <is>
          <t>520523050009</t>
        </is>
      </c>
      <c r="E10" s="5" t="inlineStr">
        <is>
          <t>OPHIYANSYAH ACHRUL PUTRA</t>
        </is>
      </c>
      <c r="F10" s="6" t="inlineStr">
        <is>
          <t>520525110180</t>
        </is>
      </c>
      <c r="G10" s="4" t="inlineStr">
        <is>
          <t>051</t>
        </is>
      </c>
      <c r="H10" s="4" t="inlineStr">
        <is>
          <t>003</t>
        </is>
      </c>
      <c r="I10" s="4" t="inlineStr">
        <is>
          <t>000300</t>
        </is>
      </c>
      <c r="J10" s="4" t="n">
        <v>61</v>
      </c>
      <c r="K10" s="4" t="n">
        <v>17</v>
      </c>
      <c r="L10" s="4">
        <f>J10+K10</f>
        <v/>
      </c>
      <c r="M10" s="4" t="n">
        <v>62</v>
      </c>
      <c r="N10" s="4">
        <f>O10-M10</f>
        <v/>
      </c>
      <c r="O10" s="4" t="n">
        <v>81</v>
      </c>
      <c r="P10" s="4">
        <f>IF(L10=0,100,O10/L10*100)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Syahril Sidik</t>
        </is>
      </c>
      <c r="D11" s="10" t="inlineStr">
        <is>
          <t>520523050009</t>
        </is>
      </c>
      <c r="E11" s="9" t="inlineStr">
        <is>
          <t>OPHIYANSYAH ACHRUL PUTRA</t>
        </is>
      </c>
      <c r="F11" s="10" t="inlineStr">
        <is>
          <t>520525110180</t>
        </is>
      </c>
      <c r="G11" s="8" t="inlineStr">
        <is>
          <t>051</t>
        </is>
      </c>
      <c r="H11" s="8" t="inlineStr">
        <is>
          <t>003</t>
        </is>
      </c>
      <c r="I11" s="8" t="inlineStr">
        <is>
          <t>000400</t>
        </is>
      </c>
      <c r="J11" s="8" t="n">
        <v>60</v>
      </c>
      <c r="K11" s="8" t="n">
        <v>17</v>
      </c>
      <c r="L11" s="8">
        <f>J11+K11</f>
        <v/>
      </c>
      <c r="M11" s="8" t="n">
        <v>0</v>
      </c>
      <c r="N11" s="8">
        <f>O11-M11</f>
        <v/>
      </c>
      <c r="O11" s="8" t="n">
        <v>9</v>
      </c>
      <c r="P11" s="8">
        <f>IF(L11=0,100,O11/L11*100)</f>
        <v/>
      </c>
      <c r="Q11" s="11" t="inlineStr"/>
    </row>
    <row r="12">
      <c r="B12" s="8" t="n">
        <v>5</v>
      </c>
      <c r="C12" s="9" t="inlineStr">
        <is>
          <t>Syahril Sidik</t>
        </is>
      </c>
      <c r="D12" s="10" t="inlineStr">
        <is>
          <t>520523050009</t>
        </is>
      </c>
      <c r="E12" s="9" t="inlineStr">
        <is>
          <t>OPHIYANSYAH ACHRUL PUTRA</t>
        </is>
      </c>
      <c r="F12" s="10" t="inlineStr">
        <is>
          <t>520525110180</t>
        </is>
      </c>
      <c r="G12" s="8" t="inlineStr">
        <is>
          <t>051</t>
        </is>
      </c>
      <c r="H12" s="8" t="inlineStr">
        <is>
          <t>003</t>
        </is>
      </c>
      <c r="I12" s="8" t="inlineStr">
        <is>
          <t>000600</t>
        </is>
      </c>
      <c r="J12" s="8" t="n">
        <v>60</v>
      </c>
      <c r="K12" s="8" t="n">
        <v>18</v>
      </c>
      <c r="L12" s="8">
        <f>J12+K12</f>
        <v/>
      </c>
      <c r="M12" s="8" t="n">
        <v>0</v>
      </c>
      <c r="N12" s="8">
        <f>O12-M12</f>
        <v/>
      </c>
      <c r="O12" s="8" t="n">
        <v>1</v>
      </c>
      <c r="P12" s="8">
        <f>IF(L12=0,100,O12/L12*100)</f>
        <v/>
      </c>
      <c r="Q12" s="11" t="inlineStr"/>
    </row>
    <row r="13">
      <c r="B13" s="8" t="n">
        <v>6</v>
      </c>
      <c r="C13" s="9" t="inlineStr">
        <is>
          <t>Syahril Sidik</t>
        </is>
      </c>
      <c r="D13" s="10" t="inlineStr">
        <is>
          <t>520523050009</t>
        </is>
      </c>
      <c r="E13" s="9" t="inlineStr">
        <is>
          <t>OPHIYANSYAH ACHRUL PUTRA</t>
        </is>
      </c>
      <c r="F13" s="10" t="inlineStr">
        <is>
          <t>520525110180</t>
        </is>
      </c>
      <c r="G13" s="8" t="inlineStr">
        <is>
          <t>051</t>
        </is>
      </c>
      <c r="H13" s="8" t="inlineStr">
        <is>
          <t>003</t>
        </is>
      </c>
      <c r="I13" s="8" t="inlineStr">
        <is>
          <t>000900</t>
        </is>
      </c>
      <c r="J13" s="8" t="n">
        <v>95</v>
      </c>
      <c r="K13" s="8" t="n">
        <v>42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IF(L13=0,100,O13/L13*100)</f>
        <v/>
      </c>
      <c r="Q13" s="11" t="inlineStr"/>
    </row>
    <row r="14">
      <c r="B14" s="8" t="n">
        <v>7</v>
      </c>
      <c r="C14" s="9" t="inlineStr">
        <is>
          <t>Syahril Sidik</t>
        </is>
      </c>
      <c r="D14" s="10" t="inlineStr">
        <is>
          <t>520523050009</t>
        </is>
      </c>
      <c r="E14" s="9" t="inlineStr">
        <is>
          <t>OPHIYANSYAH ACHRUL PUTRA</t>
        </is>
      </c>
      <c r="F14" s="10" t="inlineStr">
        <is>
          <t>520525110180</t>
        </is>
      </c>
      <c r="G14" s="8" t="inlineStr">
        <is>
          <t>051</t>
        </is>
      </c>
      <c r="H14" s="8" t="inlineStr">
        <is>
          <t>003</t>
        </is>
      </c>
      <c r="I14" s="8" t="inlineStr">
        <is>
          <t>100200</t>
        </is>
      </c>
      <c r="J14" s="8" t="n">
        <v>0</v>
      </c>
      <c r="K14" s="8" t="n">
        <v>4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IF(L14=0,100,O14/L14*100)</f>
        <v/>
      </c>
      <c r="Q14" s="11" t="inlineStr"/>
    </row>
    <row r="15">
      <c r="B15" s="8" t="n">
        <v>8</v>
      </c>
      <c r="C15" s="9" t="inlineStr">
        <is>
          <t>Yulianti</t>
        </is>
      </c>
      <c r="D15" s="10" t="inlineStr">
        <is>
          <t>520522100175</t>
        </is>
      </c>
      <c r="E15" s="9" t="inlineStr">
        <is>
          <t>Adetya Anhar</t>
        </is>
      </c>
      <c r="F15" s="10" t="inlineStr">
        <is>
          <t>520525110257</t>
        </is>
      </c>
      <c r="G15" s="8" t="inlineStr">
        <is>
          <t>010</t>
        </is>
      </c>
      <c r="H15" s="8" t="inlineStr">
        <is>
          <t>003</t>
        </is>
      </c>
      <c r="I15" s="8" t="inlineStr">
        <is>
          <t>000200</t>
        </is>
      </c>
      <c r="J15" s="8" t="n">
        <v>58</v>
      </c>
      <c r="K15" s="8" t="n">
        <v>15</v>
      </c>
      <c r="L15" s="8">
        <f>J15+K15</f>
        <v/>
      </c>
      <c r="M15" s="8" t="n">
        <v>0</v>
      </c>
      <c r="N15" s="8">
        <f>O15-M15</f>
        <v/>
      </c>
      <c r="O15" s="8" t="n">
        <v>0</v>
      </c>
      <c r="P15" s="8">
        <f>IF(L15=0,100,O15/L15*100)</f>
        <v/>
      </c>
      <c r="Q15" s="11" t="inlineStr"/>
    </row>
    <row r="16">
      <c r="B16" s="4" t="n">
        <v>9</v>
      </c>
      <c r="C16" s="5" t="inlineStr">
        <is>
          <t>Yulianti</t>
        </is>
      </c>
      <c r="D16" s="6" t="inlineStr">
        <is>
          <t>520522100175</t>
        </is>
      </c>
      <c r="E16" s="5" t="inlineStr">
        <is>
          <t>Adetya Anhar</t>
        </is>
      </c>
      <c r="F16" s="6" t="inlineStr">
        <is>
          <t>520525110257</t>
        </is>
      </c>
      <c r="G16" s="4" t="inlineStr">
        <is>
          <t>010</t>
        </is>
      </c>
      <c r="H16" s="4" t="inlineStr">
        <is>
          <t>003</t>
        </is>
      </c>
      <c r="I16" s="4" t="inlineStr">
        <is>
          <t>001000</t>
        </is>
      </c>
      <c r="J16" s="4" t="n">
        <v>109</v>
      </c>
      <c r="K16" s="4" t="n">
        <v>139</v>
      </c>
      <c r="L16" s="4">
        <f>J16+K16</f>
        <v/>
      </c>
      <c r="M16" s="4" t="n">
        <v>133</v>
      </c>
      <c r="N16" s="4">
        <f>O16-M16</f>
        <v/>
      </c>
      <c r="O16" s="4" t="n">
        <v>295</v>
      </c>
      <c r="P16" s="4">
        <f>IF(L16=0,100,O16/L16*100)</f>
        <v/>
      </c>
      <c r="Q16" s="7" t="inlineStr">
        <is>
          <t>PRIORITAS</t>
        </is>
      </c>
    </row>
    <row r="17">
      <c r="B17" s="4" t="n">
        <v>10</v>
      </c>
      <c r="C17" s="5" t="inlineStr">
        <is>
          <t>Yulianti</t>
        </is>
      </c>
      <c r="D17" s="6" t="inlineStr">
        <is>
          <t>520522100175</t>
        </is>
      </c>
      <c r="E17" s="5" t="inlineStr">
        <is>
          <t>Adetya Anhar</t>
        </is>
      </c>
      <c r="F17" s="6" t="inlineStr">
        <is>
          <t>520525110257</t>
        </is>
      </c>
      <c r="G17" s="4" t="inlineStr">
        <is>
          <t>010</t>
        </is>
      </c>
      <c r="H17" s="4" t="inlineStr">
        <is>
          <t>007</t>
        </is>
      </c>
      <c r="I17" s="4" t="inlineStr">
        <is>
          <t>001400</t>
        </is>
      </c>
      <c r="J17" s="4" t="n">
        <v>19</v>
      </c>
      <c r="K17" s="4" t="n">
        <v>12</v>
      </c>
      <c r="L17" s="4">
        <f>J17+K17</f>
        <v/>
      </c>
      <c r="M17" s="4" t="n">
        <v>14</v>
      </c>
      <c r="N17" s="4">
        <f>O17-M17</f>
        <v/>
      </c>
      <c r="O17" s="4" t="n">
        <v>37</v>
      </c>
      <c r="P17" s="4">
        <f>IF(L17=0,100,O17/L17*100)</f>
        <v/>
      </c>
      <c r="Q17" s="7" t="inlineStr">
        <is>
          <t>PRIORITAS</t>
        </is>
      </c>
    </row>
    <row r="18">
      <c r="B18" s="8" t="n">
        <v>11</v>
      </c>
      <c r="C18" s="9" t="inlineStr">
        <is>
          <t>Yulianti</t>
        </is>
      </c>
      <c r="D18" s="10" t="inlineStr">
        <is>
          <t>520522100175</t>
        </is>
      </c>
      <c r="E18" s="9" t="inlineStr">
        <is>
          <t>Adetya Anhar</t>
        </is>
      </c>
      <c r="F18" s="10" t="inlineStr">
        <is>
          <t>520525110257</t>
        </is>
      </c>
      <c r="G18" s="8" t="inlineStr">
        <is>
          <t>010</t>
        </is>
      </c>
      <c r="H18" s="8" t="inlineStr">
        <is>
          <t>007</t>
        </is>
      </c>
      <c r="I18" s="8" t="inlineStr">
        <is>
          <t>001600</t>
        </is>
      </c>
      <c r="J18" s="8" t="n">
        <v>34</v>
      </c>
      <c r="K18" s="8" t="n">
        <v>17</v>
      </c>
      <c r="L18" s="8">
        <f>J18+K18</f>
        <v/>
      </c>
      <c r="M18" s="8" t="n">
        <v>0</v>
      </c>
      <c r="N18" s="8">
        <f>O18-M18</f>
        <v/>
      </c>
      <c r="O18" s="8" t="n">
        <v>0</v>
      </c>
      <c r="P18" s="8">
        <f>IF(L18=0,100,O18/L18*100)</f>
        <v/>
      </c>
      <c r="Q18" s="11" t="inlineStr"/>
    </row>
    <row r="19">
      <c r="B19" s="4" t="n">
        <v>12</v>
      </c>
      <c r="C19" s="5" t="inlineStr">
        <is>
          <t>Yulianti</t>
        </is>
      </c>
      <c r="D19" s="6" t="inlineStr">
        <is>
          <t>520522100175</t>
        </is>
      </c>
      <c r="E19" s="5" t="inlineStr">
        <is>
          <t>Adetya Anhar</t>
        </is>
      </c>
      <c r="F19" s="6" t="inlineStr">
        <is>
          <t>520525110257</t>
        </is>
      </c>
      <c r="G19" s="4" t="inlineStr">
        <is>
          <t>010</t>
        </is>
      </c>
      <c r="H19" s="4" t="inlineStr">
        <is>
          <t>007</t>
        </is>
      </c>
      <c r="I19" s="4" t="inlineStr">
        <is>
          <t>200300</t>
        </is>
      </c>
      <c r="J19" s="4" t="n">
        <v>2</v>
      </c>
      <c r="K19" s="4" t="n">
        <v>0</v>
      </c>
      <c r="L19" s="4">
        <f>J19+K19</f>
        <v/>
      </c>
      <c r="M19" s="4" t="n">
        <v>3</v>
      </c>
      <c r="N19" s="4">
        <f>O19-M19</f>
        <v/>
      </c>
      <c r="O19" s="4" t="n">
        <v>5</v>
      </c>
      <c r="P19" s="4">
        <f>IF(L19=0,100,O19/L19*100)</f>
        <v/>
      </c>
      <c r="Q19" s="7" t="inlineStr">
        <is>
          <t>PRIORITAS</t>
        </is>
      </c>
    </row>
    <row r="20">
      <c r="B20" s="8" t="n">
        <v>13</v>
      </c>
      <c r="C20" s="9" t="inlineStr">
        <is>
          <t>Yulianti</t>
        </is>
      </c>
      <c r="D20" s="10" t="inlineStr">
        <is>
          <t>520522100175</t>
        </is>
      </c>
      <c r="E20" s="9" t="inlineStr">
        <is>
          <t>Adetya Anhar</t>
        </is>
      </c>
      <c r="F20" s="10" t="inlineStr">
        <is>
          <t>520525110257</t>
        </is>
      </c>
      <c r="G20" s="8" t="inlineStr">
        <is>
          <t>010</t>
        </is>
      </c>
      <c r="H20" s="8" t="inlineStr">
        <is>
          <t>008</t>
        </is>
      </c>
      <c r="I20" s="8" t="inlineStr">
        <is>
          <t>000100</t>
        </is>
      </c>
      <c r="J20" s="8" t="n">
        <v>63</v>
      </c>
      <c r="K20" s="8" t="n">
        <v>24</v>
      </c>
      <c r="L20" s="8">
        <f>J20+K20</f>
        <v/>
      </c>
      <c r="M20" s="8" t="n">
        <v>0</v>
      </c>
      <c r="N20" s="8">
        <f>O20-M20</f>
        <v/>
      </c>
      <c r="O20" s="8" t="n">
        <v>1</v>
      </c>
      <c r="P20" s="8">
        <f>IF(L20=0,100,O20/L20*100)</f>
        <v/>
      </c>
      <c r="Q20" s="11" t="inlineStr"/>
    </row>
    <row r="21">
      <c r="B21" s="4" t="n">
        <v>14</v>
      </c>
      <c r="C21" s="5" t="inlineStr">
        <is>
          <t>JULKARNAIN</t>
        </is>
      </c>
      <c r="D21" s="6" t="inlineStr">
        <is>
          <t>520522100030</t>
        </is>
      </c>
      <c r="E21" s="5" t="inlineStr">
        <is>
          <t>ARI APRIADI</t>
        </is>
      </c>
      <c r="F21" s="6" t="inlineStr">
        <is>
          <t>520526050181</t>
        </is>
      </c>
      <c r="G21" s="4" t="inlineStr">
        <is>
          <t>050</t>
        </is>
      </c>
      <c r="H21" s="4" t="inlineStr">
        <is>
          <t>015</t>
        </is>
      </c>
      <c r="I21" s="4" t="inlineStr">
        <is>
          <t>000300</t>
        </is>
      </c>
      <c r="J21" s="4" t="n">
        <v>68</v>
      </c>
      <c r="K21" s="4" t="n">
        <v>42</v>
      </c>
      <c r="L21" s="4">
        <f>J21+K21</f>
        <v/>
      </c>
      <c r="M21" s="4" t="n">
        <v>77</v>
      </c>
      <c r="N21" s="4">
        <f>O21-M21</f>
        <v/>
      </c>
      <c r="O21" s="4" t="n">
        <v>131</v>
      </c>
      <c r="P21" s="4">
        <f>IF(L21=0,100,O21/L21*100)</f>
        <v/>
      </c>
      <c r="Q21" s="7" t="inlineStr">
        <is>
          <t>PRIORITAS</t>
        </is>
      </c>
    </row>
    <row r="22">
      <c r="B22" s="4" t="n">
        <v>15</v>
      </c>
      <c r="C22" s="5" t="inlineStr">
        <is>
          <t>JULKARNAIN</t>
        </is>
      </c>
      <c r="D22" s="6" t="inlineStr">
        <is>
          <t>520522100030</t>
        </is>
      </c>
      <c r="E22" s="5" t="inlineStr">
        <is>
          <t>ARI APRIADI</t>
        </is>
      </c>
      <c r="F22" s="6" t="inlineStr">
        <is>
          <t>520526050181</t>
        </is>
      </c>
      <c r="G22" s="4" t="inlineStr">
        <is>
          <t>050</t>
        </is>
      </c>
      <c r="H22" s="4" t="inlineStr">
        <is>
          <t>015</t>
        </is>
      </c>
      <c r="I22" s="4" t="inlineStr">
        <is>
          <t>000400</t>
        </is>
      </c>
      <c r="J22" s="4" t="n">
        <v>89</v>
      </c>
      <c r="K22" s="4" t="n">
        <v>31</v>
      </c>
      <c r="L22" s="4">
        <f>J22+K22</f>
        <v/>
      </c>
      <c r="M22" s="4" t="n">
        <v>82</v>
      </c>
      <c r="N22" s="4">
        <f>O22-M22</f>
        <v/>
      </c>
      <c r="O22" s="4" t="n">
        <v>139</v>
      </c>
      <c r="P22" s="4">
        <f>IF(L22=0,100,O22/L22*100)</f>
        <v/>
      </c>
      <c r="Q22" s="7" t="inlineStr">
        <is>
          <t>PRIORITAS</t>
        </is>
      </c>
    </row>
    <row r="23">
      <c r="B23" s="8" t="n">
        <v>16</v>
      </c>
      <c r="C23" s="9" t="inlineStr">
        <is>
          <t>JULKARNAIN</t>
        </is>
      </c>
      <c r="D23" s="10" t="inlineStr">
        <is>
          <t>520522100030</t>
        </is>
      </c>
      <c r="E23" s="9" t="inlineStr">
        <is>
          <t>ARI APRIADI</t>
        </is>
      </c>
      <c r="F23" s="10" t="inlineStr">
        <is>
          <t>520526050181</t>
        </is>
      </c>
      <c r="G23" s="8" t="inlineStr">
        <is>
          <t>050</t>
        </is>
      </c>
      <c r="H23" s="8" t="inlineStr">
        <is>
          <t>015</t>
        </is>
      </c>
      <c r="I23" s="8" t="inlineStr">
        <is>
          <t>000500</t>
        </is>
      </c>
      <c r="J23" s="8" t="n">
        <v>31</v>
      </c>
      <c r="K23" s="8" t="n">
        <v>24</v>
      </c>
      <c r="L23" s="8">
        <f>J23+K23</f>
        <v/>
      </c>
      <c r="M23" s="8" t="n">
        <v>1</v>
      </c>
      <c r="N23" s="8">
        <f>O23-M23</f>
        <v/>
      </c>
      <c r="O23" s="8" t="n">
        <v>13</v>
      </c>
      <c r="P23" s="8">
        <f>IF(L23=0,100,O23/L23*100)</f>
        <v/>
      </c>
      <c r="Q23" s="11" t="inlineStr"/>
    </row>
    <row r="24">
      <c r="B24" s="8" t="n">
        <v>17</v>
      </c>
      <c r="C24" s="9" t="inlineStr">
        <is>
          <t>JULKARNAIN</t>
        </is>
      </c>
      <c r="D24" s="10" t="inlineStr">
        <is>
          <t>520522100030</t>
        </is>
      </c>
      <c r="E24" s="9" t="inlineStr">
        <is>
          <t>ARI APRIADI</t>
        </is>
      </c>
      <c r="F24" s="10" t="inlineStr">
        <is>
          <t>520526050181</t>
        </is>
      </c>
      <c r="G24" s="8" t="inlineStr">
        <is>
          <t>050</t>
        </is>
      </c>
      <c r="H24" s="8" t="inlineStr">
        <is>
          <t>015</t>
        </is>
      </c>
      <c r="I24" s="8" t="inlineStr">
        <is>
          <t>000600</t>
        </is>
      </c>
      <c r="J24" s="8" t="n">
        <v>39</v>
      </c>
      <c r="K24" s="8" t="n">
        <v>16</v>
      </c>
      <c r="L24" s="8">
        <f>J24+K24</f>
        <v/>
      </c>
      <c r="M24" s="8" t="n">
        <v>0</v>
      </c>
      <c r="N24" s="8">
        <f>O24-M24</f>
        <v/>
      </c>
      <c r="O24" s="8" t="n">
        <v>3</v>
      </c>
      <c r="P24" s="8">
        <f>IF(L24=0,100,O24/L24*100)</f>
        <v/>
      </c>
      <c r="Q24" s="11" t="inlineStr"/>
    </row>
    <row r="25">
      <c r="B25" s="4" t="n">
        <v>18</v>
      </c>
      <c r="C25" s="5" t="inlineStr">
        <is>
          <t>JULKARNAIN</t>
        </is>
      </c>
      <c r="D25" s="6" t="inlineStr">
        <is>
          <t>520522100030</t>
        </is>
      </c>
      <c r="E25" s="5" t="inlineStr">
        <is>
          <t>ARI APRIADI</t>
        </is>
      </c>
      <c r="F25" s="6" t="inlineStr">
        <is>
          <t>520526050181</t>
        </is>
      </c>
      <c r="G25" s="4" t="inlineStr">
        <is>
          <t>050</t>
        </is>
      </c>
      <c r="H25" s="4" t="inlineStr">
        <is>
          <t>015</t>
        </is>
      </c>
      <c r="I25" s="4" t="inlineStr">
        <is>
          <t>000900</t>
        </is>
      </c>
      <c r="J25" s="4" t="n">
        <v>28</v>
      </c>
      <c r="K25" s="4" t="n">
        <v>5</v>
      </c>
      <c r="L25" s="4">
        <f>J25+K25</f>
        <v/>
      </c>
      <c r="M25" s="4" t="n">
        <v>28</v>
      </c>
      <c r="N25" s="4">
        <f>O25-M25</f>
        <v/>
      </c>
      <c r="O25" s="4" t="n">
        <v>38</v>
      </c>
      <c r="P25" s="4">
        <f>IF(L25=0,100,O25/L25*100)</f>
        <v/>
      </c>
      <c r="Q25" s="7" t="inlineStr">
        <is>
          <t>PRIORITAS</t>
        </is>
      </c>
    </row>
    <row r="26">
      <c r="B26" s="8" t="n">
        <v>19</v>
      </c>
      <c r="C26" s="9" t="inlineStr">
        <is>
          <t>JULKARNAIN</t>
        </is>
      </c>
      <c r="D26" s="10" t="inlineStr">
        <is>
          <t>520522100030</t>
        </is>
      </c>
      <c r="E26" s="9" t="inlineStr">
        <is>
          <t>ARI APRIADI</t>
        </is>
      </c>
      <c r="F26" s="10" t="inlineStr">
        <is>
          <t>520526050181</t>
        </is>
      </c>
      <c r="G26" s="8" t="inlineStr">
        <is>
          <t>050</t>
        </is>
      </c>
      <c r="H26" s="8" t="inlineStr">
        <is>
          <t>015</t>
        </is>
      </c>
      <c r="I26" s="8" t="inlineStr">
        <is>
          <t>001000</t>
        </is>
      </c>
      <c r="J26" s="8" t="n">
        <v>27</v>
      </c>
      <c r="K26" s="8" t="n">
        <v>5</v>
      </c>
      <c r="L26" s="8">
        <f>J26+K26</f>
        <v/>
      </c>
      <c r="M26" s="8" t="n">
        <v>4</v>
      </c>
      <c r="N26" s="8">
        <f>O26-M26</f>
        <v/>
      </c>
      <c r="O26" s="8" t="n">
        <v>10</v>
      </c>
      <c r="P26" s="8">
        <f>IF(L26=0,100,O26/L26*100)</f>
        <v/>
      </c>
      <c r="Q26" s="11" t="inlineStr"/>
    </row>
    <row r="27">
      <c r="B27" s="8" t="n">
        <v>20</v>
      </c>
      <c r="C27" s="9" t="inlineStr">
        <is>
          <t>JULKARNAIN</t>
        </is>
      </c>
      <c r="D27" s="10" t="inlineStr">
        <is>
          <t>520522100030</t>
        </is>
      </c>
      <c r="E27" s="9" t="inlineStr">
        <is>
          <t>ARI APRIADI</t>
        </is>
      </c>
      <c r="F27" s="10" t="inlineStr">
        <is>
          <t>520526050181</t>
        </is>
      </c>
      <c r="G27" s="8" t="inlineStr">
        <is>
          <t>050</t>
        </is>
      </c>
      <c r="H27" s="8" t="inlineStr">
        <is>
          <t>015</t>
        </is>
      </c>
      <c r="I27" s="8" t="inlineStr">
        <is>
          <t>100100</t>
        </is>
      </c>
      <c r="J27" s="8" t="n">
        <v>0</v>
      </c>
      <c r="K27" s="8" t="n">
        <v>0</v>
      </c>
      <c r="L27" s="8">
        <f>J27+K27</f>
        <v/>
      </c>
      <c r="M27" s="8" t="n">
        <v>0</v>
      </c>
      <c r="N27" s="8">
        <f>O27-M27</f>
        <v/>
      </c>
      <c r="O27" s="8" t="n">
        <v>1</v>
      </c>
      <c r="P27" s="8">
        <f>IF(L27=0,100,O27/L27*100)</f>
        <v/>
      </c>
      <c r="Q27" s="11" t="inlineStr"/>
    </row>
    <row r="28">
      <c r="B28" s="4" t="n">
        <v>21</v>
      </c>
      <c r="C28" s="5" t="inlineStr">
        <is>
          <t>JULKARNAIN</t>
        </is>
      </c>
      <c r="D28" s="6" t="inlineStr">
        <is>
          <t>520522100030</t>
        </is>
      </c>
      <c r="E28" s="5" t="inlineStr">
        <is>
          <t>ARI APRIADI</t>
        </is>
      </c>
      <c r="F28" s="6" t="inlineStr">
        <is>
          <t>520526050181</t>
        </is>
      </c>
      <c r="G28" s="4" t="inlineStr">
        <is>
          <t>050</t>
        </is>
      </c>
      <c r="H28" s="4" t="inlineStr">
        <is>
          <t>015</t>
        </is>
      </c>
      <c r="I28" s="4" t="inlineStr">
        <is>
          <t>100200</t>
        </is>
      </c>
      <c r="J28" s="4" t="n">
        <v>0</v>
      </c>
      <c r="K28" s="4" t="n">
        <v>1</v>
      </c>
      <c r="L28" s="4">
        <f>J28+K28</f>
        <v/>
      </c>
      <c r="M28" s="4" t="n">
        <v>0</v>
      </c>
      <c r="N28" s="4">
        <f>O28-M28</f>
        <v/>
      </c>
      <c r="O28" s="4" t="n">
        <v>1</v>
      </c>
      <c r="P28" s="4">
        <f>IF(L28=0,100,O28/L28*100)</f>
        <v/>
      </c>
      <c r="Q28" s="7" t="inlineStr">
        <is>
          <t>PRIORITAS</t>
        </is>
      </c>
    </row>
    <row r="29">
      <c r="B29" s="8" t="n">
        <v>22</v>
      </c>
      <c r="C29" s="9" t="inlineStr">
        <is>
          <t>JULKARNAIN</t>
        </is>
      </c>
      <c r="D29" s="10" t="inlineStr">
        <is>
          <t>520522100030</t>
        </is>
      </c>
      <c r="E29" s="9" t="inlineStr">
        <is>
          <t>ARI APRIADI</t>
        </is>
      </c>
      <c r="F29" s="10" t="inlineStr">
        <is>
          <t>520526050181</t>
        </is>
      </c>
      <c r="G29" s="8" t="inlineStr">
        <is>
          <t>050</t>
        </is>
      </c>
      <c r="H29" s="8" t="inlineStr">
        <is>
          <t>016</t>
        </is>
      </c>
      <c r="I29" s="8" t="inlineStr">
        <is>
          <t>000600</t>
        </is>
      </c>
      <c r="J29" s="8" t="n">
        <v>65</v>
      </c>
      <c r="K29" s="8" t="n">
        <v>11</v>
      </c>
      <c r="L29" s="8">
        <f>J29+K29</f>
        <v/>
      </c>
      <c r="M29" s="8" t="n">
        <v>0</v>
      </c>
      <c r="N29" s="8">
        <f>O29-M29</f>
        <v/>
      </c>
      <c r="O29" s="8" t="n">
        <v>0</v>
      </c>
      <c r="P29" s="8">
        <f>IF(L29=0,100,O29/L29*100)</f>
        <v/>
      </c>
      <c r="Q29" s="11" t="inlineStr"/>
    </row>
    <row r="30">
      <c r="B30" s="8" t="n">
        <v>23</v>
      </c>
      <c r="C30" s="9" t="inlineStr">
        <is>
          <t>JULKARNAIN</t>
        </is>
      </c>
      <c r="D30" s="10" t="inlineStr">
        <is>
          <t>520522100030</t>
        </is>
      </c>
      <c r="E30" s="9" t="inlineStr">
        <is>
          <t>ARI APRIADI</t>
        </is>
      </c>
      <c r="F30" s="10" t="inlineStr">
        <is>
          <t>520526050181</t>
        </is>
      </c>
      <c r="G30" s="8" t="inlineStr">
        <is>
          <t>050</t>
        </is>
      </c>
      <c r="H30" s="8" t="inlineStr">
        <is>
          <t>016</t>
        </is>
      </c>
      <c r="I30" s="8" t="inlineStr">
        <is>
          <t>300300</t>
        </is>
      </c>
      <c r="J30" s="8" t="n">
        <v>0</v>
      </c>
      <c r="K30" s="8" t="n">
        <v>2</v>
      </c>
      <c r="L30" s="8">
        <f>J30+K30</f>
        <v/>
      </c>
      <c r="M30" s="8" t="n">
        <v>0</v>
      </c>
      <c r="N30" s="8">
        <f>O30-M30</f>
        <v/>
      </c>
      <c r="O30" s="8" t="n">
        <v>2</v>
      </c>
      <c r="P30" s="8">
        <f>IF(L30=0,100,O30/L30*100)</f>
        <v/>
      </c>
      <c r="Q30" s="11" t="inlineStr"/>
    </row>
    <row r="31">
      <c r="B31" s="8" t="n">
        <v>24</v>
      </c>
      <c r="C31" s="9" t="inlineStr">
        <is>
          <t>JULKARNAIN</t>
        </is>
      </c>
      <c r="D31" s="10" t="inlineStr">
        <is>
          <t>520522100030</t>
        </is>
      </c>
      <c r="E31" s="9" t="inlineStr">
        <is>
          <t>Aminullah</t>
        </is>
      </c>
      <c r="F31" s="10" t="inlineStr">
        <is>
          <t>520526050249</t>
        </is>
      </c>
      <c r="G31" s="8" t="inlineStr">
        <is>
          <t>050</t>
        </is>
      </c>
      <c r="H31" s="8" t="inlineStr">
        <is>
          <t>013</t>
        </is>
      </c>
      <c r="I31" s="8" t="inlineStr">
        <is>
          <t>200200</t>
        </is>
      </c>
      <c r="J31" s="8" t="n">
        <v>0</v>
      </c>
      <c r="K31" s="8" t="n">
        <v>2</v>
      </c>
      <c r="L31" s="8">
        <f>J31+K31</f>
        <v/>
      </c>
      <c r="M31" s="8" t="n">
        <v>0</v>
      </c>
      <c r="N31" s="8">
        <f>O31-M31</f>
        <v/>
      </c>
      <c r="O31" s="8" t="n">
        <v>2</v>
      </c>
      <c r="P31" s="8">
        <f>IF(L31=0,100,O31/L31*100)</f>
        <v/>
      </c>
      <c r="Q31" s="11" t="inlineStr"/>
    </row>
    <row r="32">
      <c r="B32" s="8" t="n">
        <v>25</v>
      </c>
      <c r="C32" s="9" t="inlineStr">
        <is>
          <t>JULKARNAIN</t>
        </is>
      </c>
      <c r="D32" s="10" t="inlineStr">
        <is>
          <t>520522100030</t>
        </is>
      </c>
      <c r="E32" s="9" t="inlineStr">
        <is>
          <t>Aminullah</t>
        </is>
      </c>
      <c r="F32" s="10" t="inlineStr">
        <is>
          <t>520526050249</t>
        </is>
      </c>
      <c r="G32" s="8" t="inlineStr">
        <is>
          <t>050</t>
        </is>
      </c>
      <c r="H32" s="8" t="inlineStr">
        <is>
          <t>014</t>
        </is>
      </c>
      <c r="I32" s="8" t="inlineStr">
        <is>
          <t>000200</t>
        </is>
      </c>
      <c r="J32" s="8" t="n">
        <v>123</v>
      </c>
      <c r="K32" s="8" t="n">
        <v>94</v>
      </c>
      <c r="L32" s="8">
        <f>J32+K32</f>
        <v/>
      </c>
      <c r="M32" s="8" t="n">
        <v>5</v>
      </c>
      <c r="N32" s="8">
        <f>O32-M32</f>
        <v/>
      </c>
      <c r="O32" s="8" t="n">
        <v>12</v>
      </c>
      <c r="P32" s="8">
        <f>IF(L32=0,100,O32/L32*100)</f>
        <v/>
      </c>
      <c r="Q32" s="11" t="inlineStr"/>
    </row>
    <row r="33">
      <c r="B33" s="4" t="n">
        <v>26</v>
      </c>
      <c r="C33" s="5" t="inlineStr">
        <is>
          <t>JULKARNAIN</t>
        </is>
      </c>
      <c r="D33" s="6" t="inlineStr">
        <is>
          <t>520522100030</t>
        </is>
      </c>
      <c r="E33" s="5" t="inlineStr">
        <is>
          <t>Aminullah</t>
        </is>
      </c>
      <c r="F33" s="6" t="inlineStr">
        <is>
          <t>520526050249</t>
        </is>
      </c>
      <c r="G33" s="4" t="inlineStr">
        <is>
          <t>050</t>
        </is>
      </c>
      <c r="H33" s="4" t="inlineStr">
        <is>
          <t>014</t>
        </is>
      </c>
      <c r="I33" s="4" t="inlineStr">
        <is>
          <t>000500</t>
        </is>
      </c>
      <c r="J33" s="4" t="n">
        <v>39</v>
      </c>
      <c r="K33" s="4" t="n">
        <v>27</v>
      </c>
      <c r="L33" s="4">
        <f>J33+K33</f>
        <v/>
      </c>
      <c r="M33" s="4" t="n">
        <v>38</v>
      </c>
      <c r="N33" s="4">
        <f>O33-M33</f>
        <v/>
      </c>
      <c r="O33" s="4" t="n">
        <v>68</v>
      </c>
      <c r="P33" s="4">
        <f>IF(L33=0,100,O33/L33*100)</f>
        <v/>
      </c>
      <c r="Q33" s="7" t="inlineStr">
        <is>
          <t>PRIORITAS</t>
        </is>
      </c>
    </row>
    <row r="34">
      <c r="B34" s="4" t="n">
        <v>27</v>
      </c>
      <c r="C34" s="5" t="inlineStr">
        <is>
          <t>JULKARNAIN</t>
        </is>
      </c>
      <c r="D34" s="6" t="inlineStr">
        <is>
          <t>520522100030</t>
        </is>
      </c>
      <c r="E34" s="5" t="inlineStr">
        <is>
          <t>Aminullah</t>
        </is>
      </c>
      <c r="F34" s="6" t="inlineStr">
        <is>
          <t>520526050249</t>
        </is>
      </c>
      <c r="G34" s="4" t="inlineStr">
        <is>
          <t>050</t>
        </is>
      </c>
      <c r="H34" s="4" t="inlineStr">
        <is>
          <t>014</t>
        </is>
      </c>
      <c r="I34" s="4" t="inlineStr">
        <is>
          <t>000600</t>
        </is>
      </c>
      <c r="J34" s="4" t="n">
        <v>69</v>
      </c>
      <c r="K34" s="4" t="n">
        <v>33</v>
      </c>
      <c r="L34" s="4">
        <f>J34+K34</f>
        <v/>
      </c>
      <c r="M34" s="4" t="n">
        <v>73</v>
      </c>
      <c r="N34" s="4">
        <f>O34-M34</f>
        <v/>
      </c>
      <c r="O34" s="4" t="n">
        <v>110</v>
      </c>
      <c r="P34" s="4">
        <f>IF(L34=0,100,O34/L34*100)</f>
        <v/>
      </c>
      <c r="Q34" s="7" t="inlineStr">
        <is>
          <t>PRIORITAS</t>
        </is>
      </c>
    </row>
    <row r="35">
      <c r="B35" s="4" t="n">
        <v>28</v>
      </c>
      <c r="C35" s="5" t="inlineStr">
        <is>
          <t>JULKARNAIN</t>
        </is>
      </c>
      <c r="D35" s="6" t="inlineStr">
        <is>
          <t>520522100030</t>
        </is>
      </c>
      <c r="E35" s="5" t="inlineStr">
        <is>
          <t>Aminullah</t>
        </is>
      </c>
      <c r="F35" s="6" t="inlineStr">
        <is>
          <t>520526050249</t>
        </is>
      </c>
      <c r="G35" s="4" t="inlineStr">
        <is>
          <t>050</t>
        </is>
      </c>
      <c r="H35" s="4" t="inlineStr">
        <is>
          <t>014</t>
        </is>
      </c>
      <c r="I35" s="4" t="inlineStr">
        <is>
          <t>000700</t>
        </is>
      </c>
      <c r="J35" s="4" t="n">
        <v>29</v>
      </c>
      <c r="K35" s="4" t="n">
        <v>9</v>
      </c>
      <c r="L35" s="4">
        <f>J35+K35</f>
        <v/>
      </c>
      <c r="M35" s="4" t="n">
        <v>29</v>
      </c>
      <c r="N35" s="4">
        <f>O35-M35</f>
        <v/>
      </c>
      <c r="O35" s="4" t="n">
        <v>42</v>
      </c>
      <c r="P35" s="4">
        <f>IF(L35=0,100,O35/L35*100)</f>
        <v/>
      </c>
      <c r="Q35" s="7" t="inlineStr">
        <is>
          <t>PRIORITAS</t>
        </is>
      </c>
    </row>
    <row r="36">
      <c r="B36" s="4" t="n">
        <v>29</v>
      </c>
      <c r="C36" s="5" t="inlineStr">
        <is>
          <t>JULKARNAIN</t>
        </is>
      </c>
      <c r="D36" s="6" t="inlineStr">
        <is>
          <t>520522100030</t>
        </is>
      </c>
      <c r="E36" s="5" t="inlineStr">
        <is>
          <t>Aminullah</t>
        </is>
      </c>
      <c r="F36" s="6" t="inlineStr">
        <is>
          <t>520526050249</t>
        </is>
      </c>
      <c r="G36" s="4" t="inlineStr">
        <is>
          <t>050</t>
        </is>
      </c>
      <c r="H36" s="4" t="inlineStr">
        <is>
          <t>014</t>
        </is>
      </c>
      <c r="I36" s="4" t="inlineStr">
        <is>
          <t>000800</t>
        </is>
      </c>
      <c r="J36" s="4" t="n">
        <v>28</v>
      </c>
      <c r="K36" s="4" t="n">
        <v>7</v>
      </c>
      <c r="L36" s="4">
        <f>J36+K36</f>
        <v/>
      </c>
      <c r="M36" s="4" t="n">
        <v>31</v>
      </c>
      <c r="N36" s="4">
        <f>O36-M36</f>
        <v/>
      </c>
      <c r="O36" s="4" t="n">
        <v>40</v>
      </c>
      <c r="P36" s="4">
        <f>IF(L36=0,100,O36/L36*100)</f>
        <v/>
      </c>
      <c r="Q36" s="7" t="inlineStr">
        <is>
          <t>PRIORITAS</t>
        </is>
      </c>
    </row>
    <row r="37">
      <c r="B37" s="8" t="n">
        <v>30</v>
      </c>
      <c r="C37" s="9" t="inlineStr">
        <is>
          <t>JULKARNAIN</t>
        </is>
      </c>
      <c r="D37" s="10" t="inlineStr">
        <is>
          <t>520522100030</t>
        </is>
      </c>
      <c r="E37" s="9" t="inlineStr">
        <is>
          <t>Aminullah</t>
        </is>
      </c>
      <c r="F37" s="10" t="inlineStr">
        <is>
          <t>520526050249</t>
        </is>
      </c>
      <c r="G37" s="8" t="inlineStr">
        <is>
          <t>050</t>
        </is>
      </c>
      <c r="H37" s="8" t="inlineStr">
        <is>
          <t>014</t>
        </is>
      </c>
      <c r="I37" s="8" t="inlineStr">
        <is>
          <t>001100</t>
        </is>
      </c>
      <c r="J37" s="8" t="n">
        <v>13</v>
      </c>
      <c r="K37" s="8" t="n">
        <v>16</v>
      </c>
      <c r="L37" s="8">
        <f>J37+K37</f>
        <v/>
      </c>
      <c r="M37" s="8" t="n">
        <v>6</v>
      </c>
      <c r="N37" s="8">
        <f>O37-M37</f>
        <v/>
      </c>
      <c r="O37" s="8" t="n">
        <v>20</v>
      </c>
      <c r="P37" s="8">
        <f>IF(L37=0,100,O37/L37*100)</f>
        <v/>
      </c>
      <c r="Q37" s="11" t="inlineStr"/>
    </row>
    <row r="38">
      <c r="B38" s="8" t="n">
        <v>31</v>
      </c>
      <c r="C38" s="9" t="inlineStr">
        <is>
          <t>JULKARNAIN</t>
        </is>
      </c>
      <c r="D38" s="10" t="inlineStr">
        <is>
          <t>520522100030</t>
        </is>
      </c>
      <c r="E38" s="9" t="inlineStr">
        <is>
          <t>Aminullah</t>
        </is>
      </c>
      <c r="F38" s="10" t="inlineStr">
        <is>
          <t>520526050249</t>
        </is>
      </c>
      <c r="G38" s="8" t="inlineStr">
        <is>
          <t>050</t>
        </is>
      </c>
      <c r="H38" s="8" t="inlineStr">
        <is>
          <t>014</t>
        </is>
      </c>
      <c r="I38" s="8" t="inlineStr">
        <is>
          <t>001200</t>
        </is>
      </c>
      <c r="J38" s="8" t="n">
        <v>26</v>
      </c>
      <c r="K38" s="8" t="n">
        <v>54</v>
      </c>
      <c r="L38" s="8">
        <f>J38+K38</f>
        <v/>
      </c>
      <c r="M38" s="8" t="n">
        <v>3</v>
      </c>
      <c r="N38" s="8">
        <f>O38-M38</f>
        <v/>
      </c>
      <c r="O38" s="8" t="n">
        <v>34</v>
      </c>
      <c r="P38" s="8">
        <f>IF(L38=0,100,O38/L38*100)</f>
        <v/>
      </c>
      <c r="Q38" s="11" t="inlineStr"/>
    </row>
    <row r="39">
      <c r="B39" s="8" t="n">
        <v>32</v>
      </c>
      <c r="C39" s="9" t="inlineStr">
        <is>
          <t>JULKARNAIN</t>
        </is>
      </c>
      <c r="D39" s="10" t="inlineStr">
        <is>
          <t>520522100030</t>
        </is>
      </c>
      <c r="E39" s="9" t="inlineStr">
        <is>
          <t>Aminullah</t>
        </is>
      </c>
      <c r="F39" s="10" t="inlineStr">
        <is>
          <t>520526050249</t>
        </is>
      </c>
      <c r="G39" s="8" t="inlineStr">
        <is>
          <t>050</t>
        </is>
      </c>
      <c r="H39" s="8" t="inlineStr">
        <is>
          <t>014</t>
        </is>
      </c>
      <c r="I39" s="8" t="inlineStr">
        <is>
          <t>100100</t>
        </is>
      </c>
      <c r="J39" s="8" t="n">
        <v>0</v>
      </c>
      <c r="K39" s="8" t="n">
        <v>10</v>
      </c>
      <c r="L39" s="8">
        <f>J39+K39</f>
        <v/>
      </c>
      <c r="M39" s="8" t="n">
        <v>0</v>
      </c>
      <c r="N39" s="8">
        <f>O39-M39</f>
        <v/>
      </c>
      <c r="O39" s="8" t="n">
        <v>10</v>
      </c>
      <c r="P39" s="8">
        <f>IF(L39=0,100,O39/L39*100)</f>
        <v/>
      </c>
      <c r="Q39" s="11" t="inlineStr"/>
    </row>
    <row r="40">
      <c r="B40" s="8" t="n">
        <v>33</v>
      </c>
      <c r="C40" s="9" t="inlineStr">
        <is>
          <t>JULKARNAIN</t>
        </is>
      </c>
      <c r="D40" s="10" t="inlineStr">
        <is>
          <t>520522100030</t>
        </is>
      </c>
      <c r="E40" s="9" t="inlineStr">
        <is>
          <t>Aminullah</t>
        </is>
      </c>
      <c r="F40" s="10" t="inlineStr">
        <is>
          <t>520526050249</t>
        </is>
      </c>
      <c r="G40" s="8" t="inlineStr">
        <is>
          <t>050</t>
        </is>
      </c>
      <c r="H40" s="8" t="inlineStr">
        <is>
          <t>014</t>
        </is>
      </c>
      <c r="I40" s="8" t="inlineStr">
        <is>
          <t>100200</t>
        </is>
      </c>
      <c r="J40" s="8" t="n">
        <v>0</v>
      </c>
      <c r="K40" s="8" t="n">
        <v>50</v>
      </c>
      <c r="L40" s="8">
        <f>J40+K40</f>
        <v/>
      </c>
      <c r="M40" s="8" t="n">
        <v>0</v>
      </c>
      <c r="N40" s="8">
        <f>O40-M40</f>
        <v/>
      </c>
      <c r="O40" s="8" t="n">
        <v>50</v>
      </c>
      <c r="P40" s="8">
        <f>IF(L40=0,100,O40/L40*100)</f>
        <v/>
      </c>
      <c r="Q40" s="11" t="inlineStr"/>
    </row>
    <row r="41">
      <c r="B41" s="4" t="n">
        <v>34</v>
      </c>
      <c r="C41" s="5" t="inlineStr">
        <is>
          <t>JULKARNAIN</t>
        </is>
      </c>
      <c r="D41" s="6" t="inlineStr">
        <is>
          <t>520522100030</t>
        </is>
      </c>
      <c r="E41" s="5" t="inlineStr">
        <is>
          <t>Aminullah</t>
        </is>
      </c>
      <c r="F41" s="6" t="inlineStr">
        <is>
          <t>520526050249</t>
        </is>
      </c>
      <c r="G41" s="4" t="inlineStr">
        <is>
          <t>050</t>
        </is>
      </c>
      <c r="H41" s="4" t="inlineStr">
        <is>
          <t>014</t>
        </is>
      </c>
      <c r="I41" s="4" t="inlineStr">
        <is>
          <t>200300</t>
        </is>
      </c>
      <c r="J41" s="4" t="n">
        <v>0</v>
      </c>
      <c r="K41" s="4" t="n">
        <v>49</v>
      </c>
      <c r="L41" s="4">
        <f>J41+K41</f>
        <v/>
      </c>
      <c r="M41" s="4" t="n">
        <v>0</v>
      </c>
      <c r="N41" s="4">
        <f>O41-M41</f>
        <v/>
      </c>
      <c r="O41" s="4" t="n">
        <v>49</v>
      </c>
      <c r="P41" s="4">
        <f>IF(L41=0,100,O41/L41*100)</f>
        <v/>
      </c>
      <c r="Q41" s="7" t="inlineStr">
        <is>
          <t>PRIORITAS</t>
        </is>
      </c>
    </row>
    <row r="42">
      <c r="B42" s="4" t="n">
        <v>35</v>
      </c>
      <c r="C42" s="5" t="inlineStr">
        <is>
          <t>SALAHUDDIN</t>
        </is>
      </c>
      <c r="D42" s="6" t="inlineStr">
        <is>
          <t>520522030029</t>
        </is>
      </c>
      <c r="E42" s="5" t="inlineStr">
        <is>
          <t>Waliey muftihakam marza karyadi</t>
        </is>
      </c>
      <c r="F42" s="6" t="inlineStr">
        <is>
          <t>520526050266</t>
        </is>
      </c>
      <c r="G42" s="4" t="inlineStr">
        <is>
          <t>050</t>
        </is>
      </c>
      <c r="H42" s="4" t="inlineStr">
        <is>
          <t>009</t>
        </is>
      </c>
      <c r="I42" s="4" t="inlineStr">
        <is>
          <t>000500</t>
        </is>
      </c>
      <c r="J42" s="4" t="n">
        <v>69</v>
      </c>
      <c r="K42" s="4" t="n">
        <v>73</v>
      </c>
      <c r="L42" s="4">
        <f>J42+K42</f>
        <v/>
      </c>
      <c r="M42" s="4" t="n">
        <v>79</v>
      </c>
      <c r="N42" s="4">
        <f>O42-M42</f>
        <v/>
      </c>
      <c r="O42" s="4" t="n">
        <v>161</v>
      </c>
      <c r="P42" s="4">
        <f>IF(L42=0,100,O42/L42*100)</f>
        <v/>
      </c>
      <c r="Q42" s="7" t="inlineStr">
        <is>
          <t>PRIORITAS</t>
        </is>
      </c>
    </row>
    <row r="43">
      <c r="B43" s="4" t="n">
        <v>36</v>
      </c>
      <c r="C43" s="5" t="inlineStr">
        <is>
          <t>SALAHUDDIN</t>
        </is>
      </c>
      <c r="D43" s="6" t="inlineStr">
        <is>
          <t>520522030029</t>
        </is>
      </c>
      <c r="E43" s="5" t="inlineStr">
        <is>
          <t>Waliey muftihakam marza karyadi</t>
        </is>
      </c>
      <c r="F43" s="6" t="inlineStr">
        <is>
          <t>520526050266</t>
        </is>
      </c>
      <c r="G43" s="4" t="inlineStr">
        <is>
          <t>050</t>
        </is>
      </c>
      <c r="H43" s="4" t="inlineStr">
        <is>
          <t>009</t>
        </is>
      </c>
      <c r="I43" s="4" t="inlineStr">
        <is>
          <t>001200</t>
        </is>
      </c>
      <c r="J43" s="4" t="n">
        <v>68</v>
      </c>
      <c r="K43" s="4" t="n">
        <v>27</v>
      </c>
      <c r="L43" s="4">
        <f>J43+K43</f>
        <v/>
      </c>
      <c r="M43" s="4" t="n">
        <v>79</v>
      </c>
      <c r="N43" s="4">
        <f>O43-M43</f>
        <v/>
      </c>
      <c r="O43" s="4" t="n">
        <v>112</v>
      </c>
      <c r="P43" s="4">
        <f>IF(L43=0,100,O43/L43*100)</f>
        <v/>
      </c>
      <c r="Q43" s="7" t="inlineStr">
        <is>
          <t>PRIORITAS</t>
        </is>
      </c>
    </row>
    <row r="44">
      <c r="B44" s="8" t="n">
        <v>37</v>
      </c>
      <c r="C44" s="9" t="inlineStr">
        <is>
          <t>SALAHUDDIN</t>
        </is>
      </c>
      <c r="D44" s="10" t="inlineStr">
        <is>
          <t>520522030029</t>
        </is>
      </c>
      <c r="E44" s="9" t="inlineStr">
        <is>
          <t>Waliey muftihakam marza karyadi</t>
        </is>
      </c>
      <c r="F44" s="10" t="inlineStr">
        <is>
          <t>520526050266</t>
        </is>
      </c>
      <c r="G44" s="8" t="inlineStr">
        <is>
          <t>050</t>
        </is>
      </c>
      <c r="H44" s="8" t="inlineStr">
        <is>
          <t>009</t>
        </is>
      </c>
      <c r="I44" s="8" t="inlineStr">
        <is>
          <t>001300</t>
        </is>
      </c>
      <c r="J44" s="8" t="n">
        <v>62</v>
      </c>
      <c r="K44" s="8" t="n">
        <v>27</v>
      </c>
      <c r="L44" s="8">
        <f>J44+K44</f>
        <v/>
      </c>
      <c r="M44" s="8" t="n">
        <v>5</v>
      </c>
      <c r="N44" s="8">
        <f>O44-M44</f>
        <v/>
      </c>
      <c r="O44" s="8" t="n">
        <v>22</v>
      </c>
      <c r="P44" s="8">
        <f>IF(L44=0,100,O44/L44*100)</f>
        <v/>
      </c>
      <c r="Q44" s="11" t="inlineStr"/>
    </row>
    <row r="45">
      <c r="B45" s="4" t="n">
        <v>38</v>
      </c>
      <c r="C45" s="5" t="inlineStr">
        <is>
          <t>SALAHUDDIN</t>
        </is>
      </c>
      <c r="D45" s="6" t="inlineStr">
        <is>
          <t>520522030029</t>
        </is>
      </c>
      <c r="E45" s="5" t="inlineStr">
        <is>
          <t>Waliey muftihakam marza karyadi</t>
        </is>
      </c>
      <c r="F45" s="6" t="inlineStr">
        <is>
          <t>520526050266</t>
        </is>
      </c>
      <c r="G45" s="4" t="inlineStr">
        <is>
          <t>050</t>
        </is>
      </c>
      <c r="H45" s="4" t="inlineStr">
        <is>
          <t>009</t>
        </is>
      </c>
      <c r="I45" s="4" t="inlineStr">
        <is>
          <t>001400</t>
        </is>
      </c>
      <c r="J45" s="4" t="n">
        <v>36</v>
      </c>
      <c r="K45" s="4" t="n">
        <v>16</v>
      </c>
      <c r="L45" s="4">
        <f>J45+K45</f>
        <v/>
      </c>
      <c r="M45" s="4" t="n">
        <v>46</v>
      </c>
      <c r="N45" s="4">
        <f>O45-M45</f>
        <v/>
      </c>
      <c r="O45" s="4" t="n">
        <v>68</v>
      </c>
      <c r="P45" s="4">
        <f>IF(L45=0,100,O45/L45*100)</f>
        <v/>
      </c>
      <c r="Q45" s="7" t="inlineStr">
        <is>
          <t>PRIORITAS</t>
        </is>
      </c>
    </row>
    <row r="46">
      <c r="B46" s="8" t="n">
        <v>39</v>
      </c>
      <c r="C46" s="9" t="inlineStr">
        <is>
          <t>SALAHUDDIN</t>
        </is>
      </c>
      <c r="D46" s="10" t="inlineStr">
        <is>
          <t>520522030029</t>
        </is>
      </c>
      <c r="E46" s="9" t="inlineStr">
        <is>
          <t>Waliey muftihakam marza karyadi</t>
        </is>
      </c>
      <c r="F46" s="10" t="inlineStr">
        <is>
          <t>520526050266</t>
        </is>
      </c>
      <c r="G46" s="8" t="inlineStr">
        <is>
          <t>050</t>
        </is>
      </c>
      <c r="H46" s="8" t="inlineStr">
        <is>
          <t>009</t>
        </is>
      </c>
      <c r="I46" s="8" t="inlineStr">
        <is>
          <t>001500</t>
        </is>
      </c>
      <c r="J46" s="8" t="n">
        <v>57</v>
      </c>
      <c r="K46" s="8" t="n">
        <v>34</v>
      </c>
      <c r="L46" s="8">
        <f>J46+K46</f>
        <v/>
      </c>
      <c r="M46" s="8" t="n">
        <v>2</v>
      </c>
      <c r="N46" s="8">
        <f>O46-M46</f>
        <v/>
      </c>
      <c r="O46" s="8" t="n">
        <v>9</v>
      </c>
      <c r="P46" s="8">
        <f>IF(L46=0,100,O46/L46*100)</f>
        <v/>
      </c>
      <c r="Q46" s="11" t="inlineStr"/>
    </row>
    <row r="47">
      <c r="B47" s="8" t="n">
        <v>40</v>
      </c>
      <c r="C47" s="9" t="inlineStr">
        <is>
          <t>SALAHUDDIN</t>
        </is>
      </c>
      <c r="D47" s="10" t="inlineStr">
        <is>
          <t>520522030029</t>
        </is>
      </c>
      <c r="E47" s="9" t="inlineStr">
        <is>
          <t>Waliey muftihakam marza karyadi</t>
        </is>
      </c>
      <c r="F47" s="10" t="inlineStr">
        <is>
          <t>520526050266</t>
        </is>
      </c>
      <c r="G47" s="8" t="inlineStr">
        <is>
          <t>050</t>
        </is>
      </c>
      <c r="H47" s="8" t="inlineStr">
        <is>
          <t>009</t>
        </is>
      </c>
      <c r="I47" s="8" t="inlineStr">
        <is>
          <t>001600</t>
        </is>
      </c>
      <c r="J47" s="8" t="n">
        <v>36</v>
      </c>
      <c r="K47" s="8" t="n">
        <v>9</v>
      </c>
      <c r="L47" s="8">
        <f>J47+K47</f>
        <v/>
      </c>
      <c r="M47" s="8" t="n">
        <v>25</v>
      </c>
      <c r="N47" s="8">
        <f>O47-M47</f>
        <v/>
      </c>
      <c r="O47" s="8" t="n">
        <v>37</v>
      </c>
      <c r="P47" s="8">
        <f>IF(L47=0,100,O47/L47*100)</f>
        <v/>
      </c>
      <c r="Q47" s="11" t="inlineStr"/>
    </row>
    <row r="48">
      <c r="B48" s="8" t="n">
        <v>41</v>
      </c>
      <c r="C48" s="9" t="inlineStr">
        <is>
          <t>SALAHUDDIN</t>
        </is>
      </c>
      <c r="D48" s="10" t="inlineStr">
        <is>
          <t>520522030029</t>
        </is>
      </c>
      <c r="E48" s="9" t="inlineStr">
        <is>
          <t>Waliey muftihakam marza karyadi</t>
        </is>
      </c>
      <c r="F48" s="10" t="inlineStr">
        <is>
          <t>520526050266</t>
        </is>
      </c>
      <c r="G48" s="8" t="inlineStr">
        <is>
          <t>050</t>
        </is>
      </c>
      <c r="H48" s="8" t="inlineStr">
        <is>
          <t>009</t>
        </is>
      </c>
      <c r="I48" s="8" t="inlineStr">
        <is>
          <t>100200</t>
        </is>
      </c>
      <c r="J48" s="8" t="n">
        <v>0</v>
      </c>
      <c r="K48" s="8" t="n">
        <v>2</v>
      </c>
      <c r="L48" s="8">
        <f>J48+K48</f>
        <v/>
      </c>
      <c r="M48" s="8" t="n">
        <v>0</v>
      </c>
      <c r="N48" s="8">
        <f>O48-M48</f>
        <v/>
      </c>
      <c r="O48" s="8" t="n">
        <v>2</v>
      </c>
      <c r="P48" s="8">
        <f>IF(L48=0,100,O48/L48*100)</f>
        <v/>
      </c>
      <c r="Q48" s="11" t="inlineStr"/>
    </row>
    <row r="49">
      <c r="B49" s="4" t="n">
        <v>42</v>
      </c>
      <c r="C49" s="5" t="inlineStr">
        <is>
          <t>SALAHUDDIN</t>
        </is>
      </c>
      <c r="D49" s="6" t="inlineStr">
        <is>
          <t>520522030029</t>
        </is>
      </c>
      <c r="E49" s="5" t="inlineStr">
        <is>
          <t>Waliey muftihakam marza karyadi</t>
        </is>
      </c>
      <c r="F49" s="6" t="inlineStr">
        <is>
          <t>520526050266</t>
        </is>
      </c>
      <c r="G49" s="4" t="inlineStr">
        <is>
          <t>050</t>
        </is>
      </c>
      <c r="H49" s="4" t="inlineStr">
        <is>
          <t>009</t>
        </is>
      </c>
      <c r="I49" s="4" t="inlineStr">
        <is>
          <t>100300</t>
        </is>
      </c>
      <c r="J49" s="4" t="n">
        <v>0</v>
      </c>
      <c r="K49" s="4" t="n">
        <v>7</v>
      </c>
      <c r="L49" s="4">
        <f>J49+K49</f>
        <v/>
      </c>
      <c r="M49" s="4" t="n">
        <v>0</v>
      </c>
      <c r="N49" s="4">
        <f>O49-M49</f>
        <v/>
      </c>
      <c r="O49" s="4" t="n">
        <v>7</v>
      </c>
      <c r="P49" s="4">
        <f>IF(L49=0,100,O49/L49*100)</f>
        <v/>
      </c>
      <c r="Q49" s="7" t="inlineStr">
        <is>
          <t>PRIORITAS</t>
        </is>
      </c>
    </row>
    <row r="50">
      <c r="B50" s="8" t="n">
        <v>43</v>
      </c>
      <c r="C50" s="9" t="inlineStr">
        <is>
          <t>SALAHUDDIN</t>
        </is>
      </c>
      <c r="D50" s="10" t="inlineStr">
        <is>
          <t>520522030029</t>
        </is>
      </c>
      <c r="E50" s="9" t="inlineStr">
        <is>
          <t>Waliey muftihakam marza karyadi</t>
        </is>
      </c>
      <c r="F50" s="10" t="inlineStr">
        <is>
          <t>520526050266</t>
        </is>
      </c>
      <c r="G50" s="8" t="inlineStr">
        <is>
          <t>050</t>
        </is>
      </c>
      <c r="H50" s="8" t="inlineStr">
        <is>
          <t>009</t>
        </is>
      </c>
      <c r="I50" s="8" t="inlineStr">
        <is>
          <t>200100</t>
        </is>
      </c>
      <c r="J50" s="8" t="n">
        <v>0</v>
      </c>
      <c r="K50" s="8" t="n">
        <v>14</v>
      </c>
      <c r="L50" s="8">
        <f>J50+K50</f>
        <v/>
      </c>
      <c r="M50" s="8" t="n">
        <v>0</v>
      </c>
      <c r="N50" s="8">
        <f>O50-M50</f>
        <v/>
      </c>
      <c r="O50" s="8" t="n">
        <v>14</v>
      </c>
      <c r="P50" s="8">
        <f>IF(L50=0,100,O50/L50*100)</f>
        <v/>
      </c>
      <c r="Q50" s="11" t="inlineStr"/>
    </row>
    <row r="51">
      <c r="B51" s="12" t="inlineStr">
        <is>
          <t>Jumlah</t>
        </is>
      </c>
      <c r="C51" s="13" t="n"/>
      <c r="D51" s="13" t="n"/>
      <c r="E51" s="13" t="n"/>
      <c r="F51" s="13" t="n"/>
      <c r="G51" s="13" t="n"/>
      <c r="H51" s="13" t="n"/>
      <c r="I51" s="14" t="n"/>
      <c r="J51" s="15">
        <f>SUM(J8:J50)</f>
        <v/>
      </c>
      <c r="K51" s="15">
        <f>SUM(K8:K50)</f>
        <v/>
      </c>
      <c r="L51" s="12">
        <f>SUM(L8:L50)</f>
        <v/>
      </c>
      <c r="M51" s="15">
        <f>SUM(M8:M50)</f>
        <v/>
      </c>
      <c r="N51" s="15">
        <f>SUM(N8:N50)</f>
        <v/>
      </c>
      <c r="O51" s="12">
        <f>SUM(O8:O50)</f>
        <v/>
      </c>
      <c r="P51" s="12">
        <f>IF(L51=0,100,O51/L51*100)</f>
        <v/>
      </c>
      <c r="Q51" s="10" t="inlineStr"/>
    </row>
    <row r="52"/>
    <row r="53">
      <c r="B53" s="16" t="inlineStr">
        <is>
          <t>Keterangan:</t>
        </is>
      </c>
    </row>
    <row r="54">
      <c r="B54" s="17" t="inlineStr">
        <is>
          <t>*) Target Usaha = Jumlah Usaha Prelist Awal BKU (kode sintetis 90002 = UB+UM+UMK Prelist Awal, kode 108+109+110 Dashboard SE2026).</t>
        </is>
      </c>
    </row>
    <row r="55">
      <c r="B55" s="17" t="inlineStr">
        <is>
          <t>*) Target Keluarga = Jumlah Keluarga Prelist Awal (kode indikator 14 Dashboard SE2026).</t>
        </is>
      </c>
    </row>
    <row r="56">
      <c r="B56" s="17" t="inlineStr">
        <is>
          <t>*) Realisasi Keluarga = seluruh keluarga yang sudah diproses di Dashboard SE2026 (Ditemukan+Meninggal+Tidak Eligible+Tidak Dapat Ditemui+Tidak Ditemukan+Baru+Menolak Didata+Bersedia Didata+Keluarga Khusus).</t>
        </is>
      </c>
    </row>
    <row r="57">
      <c r="B57" s="17" t="inlineStr">
        <is>
          <t>*²) Realisasi Usaha = Realisasi Jumlah − Realisasi Keluarga (diturunkan, kolom N = O−M).</t>
        </is>
      </c>
    </row>
    <row r="58">
      <c r="B58" s="17" t="inlineStr">
        <is>
          <t>*³) Realisasi Jumlah = fasih_total − fasih_open − jumlah_draft dari tabel progress (Realisasi bersumber dari Fasih yang berstatus SELAIN Open dan Draft).</t>
        </is>
      </c>
    </row>
    <row r="59">
      <c r="B59" s="17" t="inlineStr">
        <is>
          <t>*) Kolom 'ID Sobat' diisi ID/username sistem (belum ada data username email SOBAT resmi).</t>
        </is>
      </c>
    </row>
    <row r="60">
      <c r="B60" s="17" t="inlineStr">
        <is>
          <t>*) Baris berlatar KUNING = SLS PRIORITAS (19 dari 43 baris di rekap ini), sesuai kolom sls.prioritas di database.</t>
        </is>
      </c>
    </row>
    <row r="61">
      <c r="B61" s="17" t="inlineStr">
        <is>
          <t>*) Kolom Keluarga &amp; Usaha di baris 'Jumlah' (Target maupun Realisasi) dibuat hitam solid (nilai tetap ada di formula, cuma disembunyikan visualnya).</t>
        </is>
      </c>
    </row>
    <row r="62">
      <c r="B62" s="17" t="inlineStr">
        <is>
          <t>*) Persentase: kalau Target Prelist = 0, ditampilkan 100% (bukan 0%) karena tidak ada target berarti otomatis terpenuhi.</t>
        </is>
      </c>
    </row>
    <row r="63">
      <c r="B63" s="17" t="inlineStr">
        <is>
          <t>*) LK BATCH 3 -- berisi 5 petugas yang sebelumnya dikecualikan dari BATCH 2 (Aminullah, Ari Apriadi, Waliey muftihakam marza karyadi, Ophiyansyah Achrul Putra, Adetya Anhar), dan kecuali 4 nama yang diminta dikecualikan kali ini (Iin Nurrohmadanil, Sarwan, Moh Naufal, Mega Lestari -- belum dibayar batch ini).</t>
        </is>
      </c>
    </row>
    <row r="64">
      <c r="B64" s="17" t="inlineStr">
        <is>
          <t>*) Data ditarik dari se2026 (8).sql per 2026-07-25.</t>
        </is>
      </c>
    </row>
    <row r="65">
      <c r="B65" s="17" t="inlineStr">
        <is>
          <t>*) Sheet 'REKAP Semua PPL' = gabungan semua petugas. Sheet lain per nama petugas = detail masing-masing.</t>
        </is>
      </c>
    </row>
  </sheetData>
  <mergeCells count="13">
    <mergeCell ref="G5:G6"/>
    <mergeCell ref="P5:P6"/>
    <mergeCell ref="J5:L5"/>
    <mergeCell ref="H5:H6"/>
    <mergeCell ref="Q5:Q6"/>
    <mergeCell ref="B51:I51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1"/>
    <row r="2" ht="24" customHeight="1">
      <c r="B2" s="1" t="inlineStr">
        <is>
          <t>Beban Kerja Petugas Lapangan SE2026 - LK PPK Termin 1 (BATCH 3)</t>
        </is>
      </c>
    </row>
    <row r="3" ht="24" customHeight="1">
      <c r="B3" s="1" t="inlineStr">
        <is>
          <t>PPL: OPHIYANSYAH ACHRUL PUTRA  |  PML: Syahril Sidik  |  Kab. Dompu, NTB</t>
        </is>
      </c>
    </row>
    <row r="4"/>
    <row r="5" ht="30.95" customHeight="1">
      <c r="B5" s="2" t="inlineStr">
        <is>
          <t>No</t>
        </is>
      </c>
      <c r="C5" s="2" t="inlineStr">
        <is>
          <t>PML</t>
        </is>
      </c>
      <c r="D5" s="14" t="n"/>
      <c r="E5" s="2" t="inlineStr">
        <is>
          <t>PPL</t>
        </is>
      </c>
      <c r="F5" s="14" t="n"/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K5" s="13" t="n"/>
      <c r="L5" s="14" t="n"/>
      <c r="M5" s="2" t="inlineStr">
        <is>
          <t>Realisasi</t>
        </is>
      </c>
      <c r="N5" s="13" t="n"/>
      <c r="O5" s="14" t="n"/>
      <c r="P5" s="2" t="inlineStr">
        <is>
          <t>Persentase (%)</t>
        </is>
      </c>
      <c r="Q5" s="2" t="inlineStr">
        <is>
          <t>Keterangan</t>
        </is>
      </c>
    </row>
    <row r="6" ht="20.45" customHeight="1">
      <c r="B6" s="18" t="n"/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G6" s="18" t="n"/>
      <c r="H6" s="18" t="n"/>
      <c r="I6" s="18" t="n"/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  <c r="P6" s="18" t="n"/>
      <c r="Q6" s="18" t="n"/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Syahril Sidik</t>
        </is>
      </c>
      <c r="D8" s="6" t="inlineStr">
        <is>
          <t>520523050009</t>
        </is>
      </c>
      <c r="E8" s="5" t="inlineStr">
        <is>
          <t>OPHIYANSYAH ACHRUL PUTRA</t>
        </is>
      </c>
      <c r="F8" s="6" t="inlineStr">
        <is>
          <t>520525110180</t>
        </is>
      </c>
      <c r="G8" s="4" t="inlineStr">
        <is>
          <t>051</t>
        </is>
      </c>
      <c r="H8" s="4" t="inlineStr">
        <is>
          <t>003</t>
        </is>
      </c>
      <c r="I8" s="4" t="inlineStr">
        <is>
          <t>000100</t>
        </is>
      </c>
      <c r="J8" s="4" t="n">
        <v>58</v>
      </c>
      <c r="K8" s="4" t="n">
        <v>22</v>
      </c>
      <c r="L8" s="4">
        <f>J8+K8</f>
        <v/>
      </c>
      <c r="M8" s="4" t="n">
        <v>58</v>
      </c>
      <c r="N8" s="4">
        <f>O8-M8</f>
        <v/>
      </c>
      <c r="O8" s="4" t="n">
        <v>83</v>
      </c>
      <c r="P8" s="4">
        <f>IF(L8=0,100,O8/L8*100)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Syahril Sidik</t>
        </is>
      </c>
      <c r="D9" s="6" t="inlineStr">
        <is>
          <t>520523050009</t>
        </is>
      </c>
      <c r="E9" s="5" t="inlineStr">
        <is>
          <t>OPHIYANSYAH ACHRUL PUTRA</t>
        </is>
      </c>
      <c r="F9" s="6" t="inlineStr">
        <is>
          <t>520525110180</t>
        </is>
      </c>
      <c r="G9" s="4" t="inlineStr">
        <is>
          <t>051</t>
        </is>
      </c>
      <c r="H9" s="4" t="inlineStr">
        <is>
          <t>003</t>
        </is>
      </c>
      <c r="I9" s="4" t="inlineStr">
        <is>
          <t>000200</t>
        </is>
      </c>
      <c r="J9" s="4" t="n">
        <v>77</v>
      </c>
      <c r="K9" s="4" t="n">
        <v>32</v>
      </c>
      <c r="L9" s="4">
        <f>J9+K9</f>
        <v/>
      </c>
      <c r="M9" s="4" t="n">
        <v>80</v>
      </c>
      <c r="N9" s="4">
        <f>O9-M9</f>
        <v/>
      </c>
      <c r="O9" s="4" t="n">
        <v>115</v>
      </c>
      <c r="P9" s="4">
        <f>IF(L9=0,100,O9/L9*100)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Syahril Sidik</t>
        </is>
      </c>
      <c r="D10" s="6" t="inlineStr">
        <is>
          <t>520523050009</t>
        </is>
      </c>
      <c r="E10" s="5" t="inlineStr">
        <is>
          <t>OPHIYANSYAH ACHRUL PUTRA</t>
        </is>
      </c>
      <c r="F10" s="6" t="inlineStr">
        <is>
          <t>520525110180</t>
        </is>
      </c>
      <c r="G10" s="4" t="inlineStr">
        <is>
          <t>051</t>
        </is>
      </c>
      <c r="H10" s="4" t="inlineStr">
        <is>
          <t>003</t>
        </is>
      </c>
      <c r="I10" s="4" t="inlineStr">
        <is>
          <t>000300</t>
        </is>
      </c>
      <c r="J10" s="4" t="n">
        <v>61</v>
      </c>
      <c r="K10" s="4" t="n">
        <v>17</v>
      </c>
      <c r="L10" s="4">
        <f>J10+K10</f>
        <v/>
      </c>
      <c r="M10" s="4" t="n">
        <v>62</v>
      </c>
      <c r="N10" s="4">
        <f>O10-M10</f>
        <v/>
      </c>
      <c r="O10" s="4" t="n">
        <v>81</v>
      </c>
      <c r="P10" s="4">
        <f>IF(L10=0,100,O10/L10*100)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Syahril Sidik</t>
        </is>
      </c>
      <c r="D11" s="10" t="inlineStr">
        <is>
          <t>520523050009</t>
        </is>
      </c>
      <c r="E11" s="9" t="inlineStr">
        <is>
          <t>OPHIYANSYAH ACHRUL PUTRA</t>
        </is>
      </c>
      <c r="F11" s="10" t="inlineStr">
        <is>
          <t>520525110180</t>
        </is>
      </c>
      <c r="G11" s="8" t="inlineStr">
        <is>
          <t>051</t>
        </is>
      </c>
      <c r="H11" s="8" t="inlineStr">
        <is>
          <t>003</t>
        </is>
      </c>
      <c r="I11" s="8" t="inlineStr">
        <is>
          <t>000400</t>
        </is>
      </c>
      <c r="J11" s="8" t="n">
        <v>60</v>
      </c>
      <c r="K11" s="8" t="n">
        <v>17</v>
      </c>
      <c r="L11" s="8">
        <f>J11+K11</f>
        <v/>
      </c>
      <c r="M11" s="8" t="n">
        <v>0</v>
      </c>
      <c r="N11" s="8">
        <f>O11-M11</f>
        <v/>
      </c>
      <c r="O11" s="8" t="n">
        <v>9</v>
      </c>
      <c r="P11" s="8">
        <f>IF(L11=0,100,O11/L11*100)</f>
        <v/>
      </c>
      <c r="Q11" s="11" t="inlineStr"/>
    </row>
    <row r="12">
      <c r="B12" s="8" t="n">
        <v>5</v>
      </c>
      <c r="C12" s="9" t="inlineStr">
        <is>
          <t>Syahril Sidik</t>
        </is>
      </c>
      <c r="D12" s="10" t="inlineStr">
        <is>
          <t>520523050009</t>
        </is>
      </c>
      <c r="E12" s="9" t="inlineStr">
        <is>
          <t>OPHIYANSYAH ACHRUL PUTRA</t>
        </is>
      </c>
      <c r="F12" s="10" t="inlineStr">
        <is>
          <t>520525110180</t>
        </is>
      </c>
      <c r="G12" s="8" t="inlineStr">
        <is>
          <t>051</t>
        </is>
      </c>
      <c r="H12" s="8" t="inlineStr">
        <is>
          <t>003</t>
        </is>
      </c>
      <c r="I12" s="8" t="inlineStr">
        <is>
          <t>000600</t>
        </is>
      </c>
      <c r="J12" s="8" t="n">
        <v>60</v>
      </c>
      <c r="K12" s="8" t="n">
        <v>18</v>
      </c>
      <c r="L12" s="8">
        <f>J12+K12</f>
        <v/>
      </c>
      <c r="M12" s="8" t="n">
        <v>0</v>
      </c>
      <c r="N12" s="8">
        <f>O12-M12</f>
        <v/>
      </c>
      <c r="O12" s="8" t="n">
        <v>1</v>
      </c>
      <c r="P12" s="8">
        <f>IF(L12=0,100,O12/L12*100)</f>
        <v/>
      </c>
      <c r="Q12" s="11" t="inlineStr"/>
    </row>
    <row r="13">
      <c r="B13" s="8" t="n">
        <v>6</v>
      </c>
      <c r="C13" s="9" t="inlineStr">
        <is>
          <t>Syahril Sidik</t>
        </is>
      </c>
      <c r="D13" s="10" t="inlineStr">
        <is>
          <t>520523050009</t>
        </is>
      </c>
      <c r="E13" s="9" t="inlineStr">
        <is>
          <t>OPHIYANSYAH ACHRUL PUTRA</t>
        </is>
      </c>
      <c r="F13" s="10" t="inlineStr">
        <is>
          <t>520525110180</t>
        </is>
      </c>
      <c r="G13" s="8" t="inlineStr">
        <is>
          <t>051</t>
        </is>
      </c>
      <c r="H13" s="8" t="inlineStr">
        <is>
          <t>003</t>
        </is>
      </c>
      <c r="I13" s="8" t="inlineStr">
        <is>
          <t>000900</t>
        </is>
      </c>
      <c r="J13" s="8" t="n">
        <v>95</v>
      </c>
      <c r="K13" s="8" t="n">
        <v>42</v>
      </c>
      <c r="L13" s="8">
        <f>J13+K13</f>
        <v/>
      </c>
      <c r="M13" s="8" t="n">
        <v>0</v>
      </c>
      <c r="N13" s="8">
        <f>O13-M13</f>
        <v/>
      </c>
      <c r="O13" s="8" t="n">
        <v>0</v>
      </c>
      <c r="P13" s="8">
        <f>IF(L13=0,100,O13/L13*100)</f>
        <v/>
      </c>
      <c r="Q13" s="11" t="inlineStr"/>
    </row>
    <row r="14">
      <c r="B14" s="8" t="n">
        <v>7</v>
      </c>
      <c r="C14" s="9" t="inlineStr">
        <is>
          <t>Syahril Sidik</t>
        </is>
      </c>
      <c r="D14" s="10" t="inlineStr">
        <is>
          <t>520523050009</t>
        </is>
      </c>
      <c r="E14" s="9" t="inlineStr">
        <is>
          <t>OPHIYANSYAH ACHRUL PUTRA</t>
        </is>
      </c>
      <c r="F14" s="10" t="inlineStr">
        <is>
          <t>520525110180</t>
        </is>
      </c>
      <c r="G14" s="8" t="inlineStr">
        <is>
          <t>051</t>
        </is>
      </c>
      <c r="H14" s="8" t="inlineStr">
        <is>
          <t>003</t>
        </is>
      </c>
      <c r="I14" s="8" t="inlineStr">
        <is>
          <t>100200</t>
        </is>
      </c>
      <c r="J14" s="8" t="n">
        <v>0</v>
      </c>
      <c r="K14" s="8" t="n">
        <v>4</v>
      </c>
      <c r="L14" s="8">
        <f>J14+K14</f>
        <v/>
      </c>
      <c r="M14" s="8" t="n">
        <v>0</v>
      </c>
      <c r="N14" s="8">
        <f>O14-M14</f>
        <v/>
      </c>
      <c r="O14" s="8" t="n">
        <v>0</v>
      </c>
      <c r="P14" s="8">
        <f>IF(L14=0,100,O14/L14*100)</f>
        <v/>
      </c>
      <c r="Q14" s="11" t="inlineStr"/>
    </row>
    <row r="15">
      <c r="B15" s="12" t="inlineStr">
        <is>
          <t>Jumlah</t>
        </is>
      </c>
      <c r="C15" s="13" t="n"/>
      <c r="D15" s="13" t="n"/>
      <c r="E15" s="13" t="n"/>
      <c r="F15" s="13" t="n"/>
      <c r="G15" s="13" t="n"/>
      <c r="H15" s="13" t="n"/>
      <c r="I15" s="14" t="n"/>
      <c r="J15" s="15">
        <f>SUM(J8:J14)</f>
        <v/>
      </c>
      <c r="K15" s="15">
        <f>SUM(K8:K14)</f>
        <v/>
      </c>
      <c r="L15" s="12">
        <f>SUM(L8:L14)</f>
        <v/>
      </c>
      <c r="M15" s="15">
        <f>SUM(M8:M14)</f>
        <v/>
      </c>
      <c r="N15" s="15">
        <f>SUM(N8:N14)</f>
        <v/>
      </c>
      <c r="O15" s="12">
        <f>SUM(O8:O14)</f>
        <v/>
      </c>
      <c r="P15" s="12">
        <f>IF(L15=0,100,O15/L15*100)</f>
        <v/>
      </c>
      <c r="Q15" s="10" t="inlineStr"/>
    </row>
  </sheetData>
  <mergeCells count="13">
    <mergeCell ref="G5:G6"/>
    <mergeCell ref="P5:P6"/>
    <mergeCell ref="J5:L5"/>
    <mergeCell ref="H5:H6"/>
    <mergeCell ref="Q5:Q6"/>
    <mergeCell ref="B15:I15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1"/>
    <row r="2" ht="24" customHeight="1">
      <c r="B2" s="1" t="inlineStr">
        <is>
          <t>Beban Kerja Petugas Lapangan SE2026 - LK PPK Termin 1 (BATCH 3)</t>
        </is>
      </c>
    </row>
    <row r="3" ht="24" customHeight="1">
      <c r="B3" s="1" t="inlineStr">
        <is>
          <t>PPL: Adetya Anhar  |  PML: Yulianti  |  Kab. Dompu, NTB</t>
        </is>
      </c>
    </row>
    <row r="4"/>
    <row r="5" ht="30.95" customHeight="1">
      <c r="B5" s="2" t="inlineStr">
        <is>
          <t>No</t>
        </is>
      </c>
      <c r="C5" s="2" t="inlineStr">
        <is>
          <t>PML</t>
        </is>
      </c>
      <c r="D5" s="14" t="n"/>
      <c r="E5" s="2" t="inlineStr">
        <is>
          <t>PPL</t>
        </is>
      </c>
      <c r="F5" s="14" t="n"/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K5" s="13" t="n"/>
      <c r="L5" s="14" t="n"/>
      <c r="M5" s="2" t="inlineStr">
        <is>
          <t>Realisasi</t>
        </is>
      </c>
      <c r="N5" s="13" t="n"/>
      <c r="O5" s="14" t="n"/>
      <c r="P5" s="2" t="inlineStr">
        <is>
          <t>Persentase (%)</t>
        </is>
      </c>
      <c r="Q5" s="2" t="inlineStr">
        <is>
          <t>Keterangan</t>
        </is>
      </c>
    </row>
    <row r="6" ht="20.45" customHeight="1">
      <c r="B6" s="18" t="n"/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G6" s="18" t="n"/>
      <c r="H6" s="18" t="n"/>
      <c r="I6" s="18" t="n"/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  <c r="P6" s="18" t="n"/>
      <c r="Q6" s="18" t="n"/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Yulianti</t>
        </is>
      </c>
      <c r="D8" s="10" t="inlineStr">
        <is>
          <t>520522100175</t>
        </is>
      </c>
      <c r="E8" s="9" t="inlineStr">
        <is>
          <t>Adetya Anhar</t>
        </is>
      </c>
      <c r="F8" s="10" t="inlineStr">
        <is>
          <t>520525110257</t>
        </is>
      </c>
      <c r="G8" s="8" t="inlineStr">
        <is>
          <t>010</t>
        </is>
      </c>
      <c r="H8" s="8" t="inlineStr">
        <is>
          <t>003</t>
        </is>
      </c>
      <c r="I8" s="8" t="inlineStr">
        <is>
          <t>000200</t>
        </is>
      </c>
      <c r="J8" s="8" t="n">
        <v>58</v>
      </c>
      <c r="K8" s="8" t="n">
        <v>15</v>
      </c>
      <c r="L8" s="8">
        <f>J8+K8</f>
        <v/>
      </c>
      <c r="M8" s="8" t="n">
        <v>0</v>
      </c>
      <c r="N8" s="8">
        <f>O8-M8</f>
        <v/>
      </c>
      <c r="O8" s="8" t="n">
        <v>0</v>
      </c>
      <c r="P8" s="8">
        <f>IF(L8=0,100,O8/L8*100)</f>
        <v/>
      </c>
      <c r="Q8" s="11" t="inlineStr"/>
    </row>
    <row r="9">
      <c r="B9" s="4" t="n">
        <v>2</v>
      </c>
      <c r="C9" s="5" t="inlineStr">
        <is>
          <t>Yulianti</t>
        </is>
      </c>
      <c r="D9" s="6" t="inlineStr">
        <is>
          <t>520522100175</t>
        </is>
      </c>
      <c r="E9" s="5" t="inlineStr">
        <is>
          <t>Adetya Anhar</t>
        </is>
      </c>
      <c r="F9" s="6" t="inlineStr">
        <is>
          <t>520525110257</t>
        </is>
      </c>
      <c r="G9" s="4" t="inlineStr">
        <is>
          <t>010</t>
        </is>
      </c>
      <c r="H9" s="4" t="inlineStr">
        <is>
          <t>003</t>
        </is>
      </c>
      <c r="I9" s="4" t="inlineStr">
        <is>
          <t>001000</t>
        </is>
      </c>
      <c r="J9" s="4" t="n">
        <v>109</v>
      </c>
      <c r="K9" s="4" t="n">
        <v>139</v>
      </c>
      <c r="L9" s="4">
        <f>J9+K9</f>
        <v/>
      </c>
      <c r="M9" s="4" t="n">
        <v>133</v>
      </c>
      <c r="N9" s="4">
        <f>O9-M9</f>
        <v/>
      </c>
      <c r="O9" s="4" t="n">
        <v>295</v>
      </c>
      <c r="P9" s="4">
        <f>IF(L9=0,100,O9/L9*100)</f>
        <v/>
      </c>
      <c r="Q9" s="7" t="inlineStr">
        <is>
          <t>PRIORITAS</t>
        </is>
      </c>
    </row>
    <row r="10">
      <c r="B10" s="4" t="n">
        <v>3</v>
      </c>
      <c r="C10" s="5" t="inlineStr">
        <is>
          <t>Yulianti</t>
        </is>
      </c>
      <c r="D10" s="6" t="inlineStr">
        <is>
          <t>520522100175</t>
        </is>
      </c>
      <c r="E10" s="5" t="inlineStr">
        <is>
          <t>Adetya Anhar</t>
        </is>
      </c>
      <c r="F10" s="6" t="inlineStr">
        <is>
          <t>520525110257</t>
        </is>
      </c>
      <c r="G10" s="4" t="inlineStr">
        <is>
          <t>010</t>
        </is>
      </c>
      <c r="H10" s="4" t="inlineStr">
        <is>
          <t>007</t>
        </is>
      </c>
      <c r="I10" s="4" t="inlineStr">
        <is>
          <t>001400</t>
        </is>
      </c>
      <c r="J10" s="4" t="n">
        <v>19</v>
      </c>
      <c r="K10" s="4" t="n">
        <v>12</v>
      </c>
      <c r="L10" s="4">
        <f>J10+K10</f>
        <v/>
      </c>
      <c r="M10" s="4" t="n">
        <v>14</v>
      </c>
      <c r="N10" s="4">
        <f>O10-M10</f>
        <v/>
      </c>
      <c r="O10" s="4" t="n">
        <v>37</v>
      </c>
      <c r="P10" s="4">
        <f>IF(L10=0,100,O10/L10*100)</f>
        <v/>
      </c>
      <c r="Q10" s="7" t="inlineStr">
        <is>
          <t>PRIORITAS</t>
        </is>
      </c>
    </row>
    <row r="11">
      <c r="B11" s="8" t="n">
        <v>4</v>
      </c>
      <c r="C11" s="9" t="inlineStr">
        <is>
          <t>Yulianti</t>
        </is>
      </c>
      <c r="D11" s="10" t="inlineStr">
        <is>
          <t>520522100175</t>
        </is>
      </c>
      <c r="E11" s="9" t="inlineStr">
        <is>
          <t>Adetya Anhar</t>
        </is>
      </c>
      <c r="F11" s="10" t="inlineStr">
        <is>
          <t>520525110257</t>
        </is>
      </c>
      <c r="G11" s="8" t="inlineStr">
        <is>
          <t>010</t>
        </is>
      </c>
      <c r="H11" s="8" t="inlineStr">
        <is>
          <t>007</t>
        </is>
      </c>
      <c r="I11" s="8" t="inlineStr">
        <is>
          <t>001600</t>
        </is>
      </c>
      <c r="J11" s="8" t="n">
        <v>34</v>
      </c>
      <c r="K11" s="8" t="n">
        <v>17</v>
      </c>
      <c r="L11" s="8">
        <f>J11+K11</f>
        <v/>
      </c>
      <c r="M11" s="8" t="n">
        <v>0</v>
      </c>
      <c r="N11" s="8">
        <f>O11-M11</f>
        <v/>
      </c>
      <c r="O11" s="8" t="n">
        <v>0</v>
      </c>
      <c r="P11" s="8">
        <f>IF(L11=0,100,O11/L11*100)</f>
        <v/>
      </c>
      <c r="Q11" s="11" t="inlineStr"/>
    </row>
    <row r="12">
      <c r="B12" s="4" t="n">
        <v>5</v>
      </c>
      <c r="C12" s="5" t="inlineStr">
        <is>
          <t>Yulianti</t>
        </is>
      </c>
      <c r="D12" s="6" t="inlineStr">
        <is>
          <t>520522100175</t>
        </is>
      </c>
      <c r="E12" s="5" t="inlineStr">
        <is>
          <t>Adetya Anhar</t>
        </is>
      </c>
      <c r="F12" s="6" t="inlineStr">
        <is>
          <t>520525110257</t>
        </is>
      </c>
      <c r="G12" s="4" t="inlineStr">
        <is>
          <t>010</t>
        </is>
      </c>
      <c r="H12" s="4" t="inlineStr">
        <is>
          <t>007</t>
        </is>
      </c>
      <c r="I12" s="4" t="inlineStr">
        <is>
          <t>200300</t>
        </is>
      </c>
      <c r="J12" s="4" t="n">
        <v>2</v>
      </c>
      <c r="K12" s="4" t="n">
        <v>0</v>
      </c>
      <c r="L12" s="4">
        <f>J12+K12</f>
        <v/>
      </c>
      <c r="M12" s="4" t="n">
        <v>3</v>
      </c>
      <c r="N12" s="4">
        <f>O12-M12</f>
        <v/>
      </c>
      <c r="O12" s="4" t="n">
        <v>5</v>
      </c>
      <c r="P12" s="4">
        <f>IF(L12=0,100,O12/L12*100)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Yulianti</t>
        </is>
      </c>
      <c r="D13" s="10" t="inlineStr">
        <is>
          <t>520522100175</t>
        </is>
      </c>
      <c r="E13" s="9" t="inlineStr">
        <is>
          <t>Adetya Anhar</t>
        </is>
      </c>
      <c r="F13" s="10" t="inlineStr">
        <is>
          <t>520525110257</t>
        </is>
      </c>
      <c r="G13" s="8" t="inlineStr">
        <is>
          <t>010</t>
        </is>
      </c>
      <c r="H13" s="8" t="inlineStr">
        <is>
          <t>008</t>
        </is>
      </c>
      <c r="I13" s="8" t="inlineStr">
        <is>
          <t>000100</t>
        </is>
      </c>
      <c r="J13" s="8" t="n">
        <v>63</v>
      </c>
      <c r="K13" s="8" t="n">
        <v>24</v>
      </c>
      <c r="L13" s="8">
        <f>J13+K13</f>
        <v/>
      </c>
      <c r="M13" s="8" t="n">
        <v>0</v>
      </c>
      <c r="N13" s="8">
        <f>O13-M13</f>
        <v/>
      </c>
      <c r="O13" s="8" t="n">
        <v>1</v>
      </c>
      <c r="P13" s="8">
        <f>IF(L13=0,100,O13/L13*100)</f>
        <v/>
      </c>
      <c r="Q13" s="11" t="inlineStr"/>
    </row>
    <row r="14">
      <c r="B14" s="12" t="inlineStr">
        <is>
          <t>Jumlah</t>
        </is>
      </c>
      <c r="C14" s="13" t="n"/>
      <c r="D14" s="13" t="n"/>
      <c r="E14" s="13" t="n"/>
      <c r="F14" s="13" t="n"/>
      <c r="G14" s="13" t="n"/>
      <c r="H14" s="13" t="n"/>
      <c r="I14" s="14" t="n"/>
      <c r="J14" s="15">
        <f>SUM(J8:J13)</f>
        <v/>
      </c>
      <c r="K14" s="15">
        <f>SUM(K8:K13)</f>
        <v/>
      </c>
      <c r="L14" s="12">
        <f>SUM(L8:L13)</f>
        <v/>
      </c>
      <c r="M14" s="15">
        <f>SUM(M8:M13)</f>
        <v/>
      </c>
      <c r="N14" s="15">
        <f>SUM(N8:N13)</f>
        <v/>
      </c>
      <c r="O14" s="12">
        <f>SUM(O8:O13)</f>
        <v/>
      </c>
      <c r="P14" s="12">
        <f>IF(L14=0,100,O14/L14*100)</f>
        <v/>
      </c>
      <c r="Q14" s="10" t="inlineStr"/>
    </row>
  </sheetData>
  <mergeCells count="13">
    <mergeCell ref="G5:G6"/>
    <mergeCell ref="P5:P6"/>
    <mergeCell ref="J5:L5"/>
    <mergeCell ref="H5:H6"/>
    <mergeCell ref="Q5:Q6"/>
    <mergeCell ref="B14:I14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1"/>
    <row r="2" ht="24" customHeight="1">
      <c r="B2" s="1" t="inlineStr">
        <is>
          <t>Beban Kerja Petugas Lapangan SE2026 - LK PPK Termin 1 (BATCH 3)</t>
        </is>
      </c>
    </row>
    <row r="3" ht="24" customHeight="1">
      <c r="B3" s="1" t="inlineStr">
        <is>
          <t>PPL: ARI APRIADI  |  PML: JULKARNAIN  |  Kab. Dompu, NTB</t>
        </is>
      </c>
    </row>
    <row r="4"/>
    <row r="5" ht="30.95" customHeight="1">
      <c r="B5" s="2" t="inlineStr">
        <is>
          <t>No</t>
        </is>
      </c>
      <c r="C5" s="2" t="inlineStr">
        <is>
          <t>PML</t>
        </is>
      </c>
      <c r="D5" s="14" t="n"/>
      <c r="E5" s="2" t="inlineStr">
        <is>
          <t>PPL</t>
        </is>
      </c>
      <c r="F5" s="14" t="n"/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K5" s="13" t="n"/>
      <c r="L5" s="14" t="n"/>
      <c r="M5" s="2" t="inlineStr">
        <is>
          <t>Realisasi</t>
        </is>
      </c>
      <c r="N5" s="13" t="n"/>
      <c r="O5" s="14" t="n"/>
      <c r="P5" s="2" t="inlineStr">
        <is>
          <t>Persentase (%)</t>
        </is>
      </c>
      <c r="Q5" s="2" t="inlineStr">
        <is>
          <t>Keterangan</t>
        </is>
      </c>
    </row>
    <row r="6" ht="20.45" customHeight="1">
      <c r="B6" s="18" t="n"/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G6" s="18" t="n"/>
      <c r="H6" s="18" t="n"/>
      <c r="I6" s="18" t="n"/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  <c r="P6" s="18" t="n"/>
      <c r="Q6" s="18" t="n"/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JULKARNAIN</t>
        </is>
      </c>
      <c r="D8" s="6" t="inlineStr">
        <is>
          <t>520522100030</t>
        </is>
      </c>
      <c r="E8" s="5" t="inlineStr">
        <is>
          <t>ARI APRIADI</t>
        </is>
      </c>
      <c r="F8" s="6" t="inlineStr">
        <is>
          <t>520526050181</t>
        </is>
      </c>
      <c r="G8" s="4" t="inlineStr">
        <is>
          <t>050</t>
        </is>
      </c>
      <c r="H8" s="4" t="inlineStr">
        <is>
          <t>015</t>
        </is>
      </c>
      <c r="I8" s="4" t="inlineStr">
        <is>
          <t>000300</t>
        </is>
      </c>
      <c r="J8" s="4" t="n">
        <v>68</v>
      </c>
      <c r="K8" s="4" t="n">
        <v>42</v>
      </c>
      <c r="L8" s="4">
        <f>J8+K8</f>
        <v/>
      </c>
      <c r="M8" s="4" t="n">
        <v>77</v>
      </c>
      <c r="N8" s="4">
        <f>O8-M8</f>
        <v/>
      </c>
      <c r="O8" s="4" t="n">
        <v>131</v>
      </c>
      <c r="P8" s="4">
        <f>IF(L8=0,100,O8/L8*100)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JULKARNAIN</t>
        </is>
      </c>
      <c r="D9" s="6" t="inlineStr">
        <is>
          <t>520522100030</t>
        </is>
      </c>
      <c r="E9" s="5" t="inlineStr">
        <is>
          <t>ARI APRIADI</t>
        </is>
      </c>
      <c r="F9" s="6" t="inlineStr">
        <is>
          <t>520526050181</t>
        </is>
      </c>
      <c r="G9" s="4" t="inlineStr">
        <is>
          <t>050</t>
        </is>
      </c>
      <c r="H9" s="4" t="inlineStr">
        <is>
          <t>015</t>
        </is>
      </c>
      <c r="I9" s="4" t="inlineStr">
        <is>
          <t>000400</t>
        </is>
      </c>
      <c r="J9" s="4" t="n">
        <v>89</v>
      </c>
      <c r="K9" s="4" t="n">
        <v>31</v>
      </c>
      <c r="L9" s="4">
        <f>J9+K9</f>
        <v/>
      </c>
      <c r="M9" s="4" t="n">
        <v>82</v>
      </c>
      <c r="N9" s="4">
        <f>O9-M9</f>
        <v/>
      </c>
      <c r="O9" s="4" t="n">
        <v>139</v>
      </c>
      <c r="P9" s="4">
        <f>IF(L9=0,100,O9/L9*100)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JULKARNAIN</t>
        </is>
      </c>
      <c r="D10" s="10" t="inlineStr">
        <is>
          <t>520522100030</t>
        </is>
      </c>
      <c r="E10" s="9" t="inlineStr">
        <is>
          <t>ARI APRIADI</t>
        </is>
      </c>
      <c r="F10" s="10" t="inlineStr">
        <is>
          <t>520526050181</t>
        </is>
      </c>
      <c r="G10" s="8" t="inlineStr">
        <is>
          <t>050</t>
        </is>
      </c>
      <c r="H10" s="8" t="inlineStr">
        <is>
          <t>015</t>
        </is>
      </c>
      <c r="I10" s="8" t="inlineStr">
        <is>
          <t>000500</t>
        </is>
      </c>
      <c r="J10" s="8" t="n">
        <v>31</v>
      </c>
      <c r="K10" s="8" t="n">
        <v>24</v>
      </c>
      <c r="L10" s="8">
        <f>J10+K10</f>
        <v/>
      </c>
      <c r="M10" s="8" t="n">
        <v>1</v>
      </c>
      <c r="N10" s="8">
        <f>O10-M10</f>
        <v/>
      </c>
      <c r="O10" s="8" t="n">
        <v>13</v>
      </c>
      <c r="P10" s="8">
        <f>IF(L10=0,100,O10/L10*100)</f>
        <v/>
      </c>
      <c r="Q10" s="11" t="inlineStr"/>
    </row>
    <row r="11">
      <c r="B11" s="8" t="n">
        <v>4</v>
      </c>
      <c r="C11" s="9" t="inlineStr">
        <is>
          <t>JULKARNAIN</t>
        </is>
      </c>
      <c r="D11" s="10" t="inlineStr">
        <is>
          <t>520522100030</t>
        </is>
      </c>
      <c r="E11" s="9" t="inlineStr">
        <is>
          <t>ARI APRIADI</t>
        </is>
      </c>
      <c r="F11" s="10" t="inlineStr">
        <is>
          <t>520526050181</t>
        </is>
      </c>
      <c r="G11" s="8" t="inlineStr">
        <is>
          <t>050</t>
        </is>
      </c>
      <c r="H11" s="8" t="inlineStr">
        <is>
          <t>015</t>
        </is>
      </c>
      <c r="I11" s="8" t="inlineStr">
        <is>
          <t>000600</t>
        </is>
      </c>
      <c r="J11" s="8" t="n">
        <v>39</v>
      </c>
      <c r="K11" s="8" t="n">
        <v>16</v>
      </c>
      <c r="L11" s="8">
        <f>J11+K11</f>
        <v/>
      </c>
      <c r="M11" s="8" t="n">
        <v>0</v>
      </c>
      <c r="N11" s="8">
        <f>O11-M11</f>
        <v/>
      </c>
      <c r="O11" s="8" t="n">
        <v>3</v>
      </c>
      <c r="P11" s="8">
        <f>IF(L11=0,100,O11/L11*100)</f>
        <v/>
      </c>
      <c r="Q11" s="11" t="inlineStr"/>
    </row>
    <row r="12">
      <c r="B12" s="4" t="n">
        <v>5</v>
      </c>
      <c r="C12" s="5" t="inlineStr">
        <is>
          <t>JULKARNAIN</t>
        </is>
      </c>
      <c r="D12" s="6" t="inlineStr">
        <is>
          <t>520522100030</t>
        </is>
      </c>
      <c r="E12" s="5" t="inlineStr">
        <is>
          <t>ARI APRIADI</t>
        </is>
      </c>
      <c r="F12" s="6" t="inlineStr">
        <is>
          <t>520526050181</t>
        </is>
      </c>
      <c r="G12" s="4" t="inlineStr">
        <is>
          <t>050</t>
        </is>
      </c>
      <c r="H12" s="4" t="inlineStr">
        <is>
          <t>015</t>
        </is>
      </c>
      <c r="I12" s="4" t="inlineStr">
        <is>
          <t>000900</t>
        </is>
      </c>
      <c r="J12" s="4" t="n">
        <v>28</v>
      </c>
      <c r="K12" s="4" t="n">
        <v>5</v>
      </c>
      <c r="L12" s="4">
        <f>J12+K12</f>
        <v/>
      </c>
      <c r="M12" s="4" t="n">
        <v>28</v>
      </c>
      <c r="N12" s="4">
        <f>O12-M12</f>
        <v/>
      </c>
      <c r="O12" s="4" t="n">
        <v>38</v>
      </c>
      <c r="P12" s="4">
        <f>IF(L12=0,100,O12/L12*100)</f>
        <v/>
      </c>
      <c r="Q12" s="7" t="inlineStr">
        <is>
          <t>PRIORITAS</t>
        </is>
      </c>
    </row>
    <row r="13">
      <c r="B13" s="8" t="n">
        <v>6</v>
      </c>
      <c r="C13" s="9" t="inlineStr">
        <is>
          <t>JULKARNAIN</t>
        </is>
      </c>
      <c r="D13" s="10" t="inlineStr">
        <is>
          <t>520522100030</t>
        </is>
      </c>
      <c r="E13" s="9" t="inlineStr">
        <is>
          <t>ARI APRIADI</t>
        </is>
      </c>
      <c r="F13" s="10" t="inlineStr">
        <is>
          <t>520526050181</t>
        </is>
      </c>
      <c r="G13" s="8" t="inlineStr">
        <is>
          <t>050</t>
        </is>
      </c>
      <c r="H13" s="8" t="inlineStr">
        <is>
          <t>015</t>
        </is>
      </c>
      <c r="I13" s="8" t="inlineStr">
        <is>
          <t>001000</t>
        </is>
      </c>
      <c r="J13" s="8" t="n">
        <v>27</v>
      </c>
      <c r="K13" s="8" t="n">
        <v>5</v>
      </c>
      <c r="L13" s="8">
        <f>J13+K13</f>
        <v/>
      </c>
      <c r="M13" s="8" t="n">
        <v>4</v>
      </c>
      <c r="N13" s="8">
        <f>O13-M13</f>
        <v/>
      </c>
      <c r="O13" s="8" t="n">
        <v>10</v>
      </c>
      <c r="P13" s="8">
        <f>IF(L13=0,100,O13/L13*100)</f>
        <v/>
      </c>
      <c r="Q13" s="11" t="inlineStr"/>
    </row>
    <row r="14">
      <c r="B14" s="8" t="n">
        <v>7</v>
      </c>
      <c r="C14" s="9" t="inlineStr">
        <is>
          <t>JULKARNAIN</t>
        </is>
      </c>
      <c r="D14" s="10" t="inlineStr">
        <is>
          <t>520522100030</t>
        </is>
      </c>
      <c r="E14" s="9" t="inlineStr">
        <is>
          <t>ARI APRIADI</t>
        </is>
      </c>
      <c r="F14" s="10" t="inlineStr">
        <is>
          <t>520526050181</t>
        </is>
      </c>
      <c r="G14" s="8" t="inlineStr">
        <is>
          <t>050</t>
        </is>
      </c>
      <c r="H14" s="8" t="inlineStr">
        <is>
          <t>015</t>
        </is>
      </c>
      <c r="I14" s="8" t="inlineStr">
        <is>
          <t>100100</t>
        </is>
      </c>
      <c r="J14" s="8" t="n">
        <v>0</v>
      </c>
      <c r="K14" s="8" t="n">
        <v>0</v>
      </c>
      <c r="L14" s="8">
        <f>J14+K14</f>
        <v/>
      </c>
      <c r="M14" s="8" t="n">
        <v>0</v>
      </c>
      <c r="N14" s="8">
        <f>O14-M14</f>
        <v/>
      </c>
      <c r="O14" s="8" t="n">
        <v>1</v>
      </c>
      <c r="P14" s="8">
        <f>IF(L14=0,100,O14/L14*100)</f>
        <v/>
      </c>
      <c r="Q14" s="11" t="inlineStr"/>
    </row>
    <row r="15">
      <c r="B15" s="4" t="n">
        <v>8</v>
      </c>
      <c r="C15" s="5" t="inlineStr">
        <is>
          <t>JULKARNAIN</t>
        </is>
      </c>
      <c r="D15" s="6" t="inlineStr">
        <is>
          <t>520522100030</t>
        </is>
      </c>
      <c r="E15" s="5" t="inlineStr">
        <is>
          <t>ARI APRIADI</t>
        </is>
      </c>
      <c r="F15" s="6" t="inlineStr">
        <is>
          <t>520526050181</t>
        </is>
      </c>
      <c r="G15" s="4" t="inlineStr">
        <is>
          <t>050</t>
        </is>
      </c>
      <c r="H15" s="4" t="inlineStr">
        <is>
          <t>015</t>
        </is>
      </c>
      <c r="I15" s="4" t="inlineStr">
        <is>
          <t>100200</t>
        </is>
      </c>
      <c r="J15" s="4" t="n">
        <v>0</v>
      </c>
      <c r="K15" s="4" t="n">
        <v>1</v>
      </c>
      <c r="L15" s="4">
        <f>J15+K15</f>
        <v/>
      </c>
      <c r="M15" s="4" t="n">
        <v>0</v>
      </c>
      <c r="N15" s="4">
        <f>O15-M15</f>
        <v/>
      </c>
      <c r="O15" s="4" t="n">
        <v>1</v>
      </c>
      <c r="P15" s="4">
        <f>IF(L15=0,100,O15/L15*100)</f>
        <v/>
      </c>
      <c r="Q15" s="7" t="inlineStr">
        <is>
          <t>PRIORITAS</t>
        </is>
      </c>
    </row>
    <row r="16">
      <c r="B16" s="8" t="n">
        <v>9</v>
      </c>
      <c r="C16" s="9" t="inlineStr">
        <is>
          <t>JULKARNAIN</t>
        </is>
      </c>
      <c r="D16" s="10" t="inlineStr">
        <is>
          <t>520522100030</t>
        </is>
      </c>
      <c r="E16" s="9" t="inlineStr">
        <is>
          <t>ARI APRIADI</t>
        </is>
      </c>
      <c r="F16" s="10" t="inlineStr">
        <is>
          <t>520526050181</t>
        </is>
      </c>
      <c r="G16" s="8" t="inlineStr">
        <is>
          <t>050</t>
        </is>
      </c>
      <c r="H16" s="8" t="inlineStr">
        <is>
          <t>016</t>
        </is>
      </c>
      <c r="I16" s="8" t="inlineStr">
        <is>
          <t>000600</t>
        </is>
      </c>
      <c r="J16" s="8" t="n">
        <v>65</v>
      </c>
      <c r="K16" s="8" t="n">
        <v>11</v>
      </c>
      <c r="L16" s="8">
        <f>J16+K16</f>
        <v/>
      </c>
      <c r="M16" s="8" t="n">
        <v>0</v>
      </c>
      <c r="N16" s="8">
        <f>O16-M16</f>
        <v/>
      </c>
      <c r="O16" s="8" t="n">
        <v>0</v>
      </c>
      <c r="P16" s="8">
        <f>IF(L16=0,100,O16/L16*100)</f>
        <v/>
      </c>
      <c r="Q16" s="11" t="inlineStr"/>
    </row>
    <row r="17">
      <c r="B17" s="8" t="n">
        <v>10</v>
      </c>
      <c r="C17" s="9" t="inlineStr">
        <is>
          <t>JULKARNAIN</t>
        </is>
      </c>
      <c r="D17" s="10" t="inlineStr">
        <is>
          <t>520522100030</t>
        </is>
      </c>
      <c r="E17" s="9" t="inlineStr">
        <is>
          <t>ARI APRIADI</t>
        </is>
      </c>
      <c r="F17" s="10" t="inlineStr">
        <is>
          <t>520526050181</t>
        </is>
      </c>
      <c r="G17" s="8" t="inlineStr">
        <is>
          <t>050</t>
        </is>
      </c>
      <c r="H17" s="8" t="inlineStr">
        <is>
          <t>016</t>
        </is>
      </c>
      <c r="I17" s="8" t="inlineStr">
        <is>
          <t>300300</t>
        </is>
      </c>
      <c r="J17" s="8" t="n">
        <v>0</v>
      </c>
      <c r="K17" s="8" t="n">
        <v>2</v>
      </c>
      <c r="L17" s="8">
        <f>J17+K17</f>
        <v/>
      </c>
      <c r="M17" s="8" t="n">
        <v>0</v>
      </c>
      <c r="N17" s="8">
        <f>O17-M17</f>
        <v/>
      </c>
      <c r="O17" s="8" t="n">
        <v>2</v>
      </c>
      <c r="P17" s="8">
        <f>IF(L17=0,100,O17/L17*100)</f>
        <v/>
      </c>
      <c r="Q17" s="11" t="inlineStr"/>
    </row>
    <row r="18">
      <c r="B18" s="12" t="inlineStr">
        <is>
          <t>Jumlah</t>
        </is>
      </c>
      <c r="C18" s="13" t="n"/>
      <c r="D18" s="13" t="n"/>
      <c r="E18" s="13" t="n"/>
      <c r="F18" s="13" t="n"/>
      <c r="G18" s="13" t="n"/>
      <c r="H18" s="13" t="n"/>
      <c r="I18" s="14" t="n"/>
      <c r="J18" s="15">
        <f>SUM(J8:J17)</f>
        <v/>
      </c>
      <c r="K18" s="15">
        <f>SUM(K8:K17)</f>
        <v/>
      </c>
      <c r="L18" s="12">
        <f>SUM(L8:L17)</f>
        <v/>
      </c>
      <c r="M18" s="15">
        <f>SUM(M8:M17)</f>
        <v/>
      </c>
      <c r="N18" s="15">
        <f>SUM(N8:N17)</f>
        <v/>
      </c>
      <c r="O18" s="12">
        <f>SUM(O8:O17)</f>
        <v/>
      </c>
      <c r="P18" s="12">
        <f>IF(L18=0,100,O18/L18*100)</f>
        <v/>
      </c>
      <c r="Q18" s="10" t="inlineStr"/>
    </row>
  </sheetData>
  <mergeCells count="13">
    <mergeCell ref="G5:G6"/>
    <mergeCell ref="P5:P6"/>
    <mergeCell ref="J5:L5"/>
    <mergeCell ref="H5:H6"/>
    <mergeCell ref="Q5:Q6"/>
    <mergeCell ref="B18:I18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1"/>
    <row r="2" ht="24" customHeight="1">
      <c r="B2" s="1" t="inlineStr">
        <is>
          <t>Beban Kerja Petugas Lapangan SE2026 - LK PPK Termin 1 (BATCH 3)</t>
        </is>
      </c>
    </row>
    <row r="3" ht="24" customHeight="1">
      <c r="B3" s="1" t="inlineStr">
        <is>
          <t>PPL: Aminullah  |  PML: JULKARNAIN  |  Kab. Dompu, NTB</t>
        </is>
      </c>
    </row>
    <row r="4"/>
    <row r="5" ht="30.95" customHeight="1">
      <c r="B5" s="2" t="inlineStr">
        <is>
          <t>No</t>
        </is>
      </c>
      <c r="C5" s="2" t="inlineStr">
        <is>
          <t>PML</t>
        </is>
      </c>
      <c r="D5" s="14" t="n"/>
      <c r="E5" s="2" t="inlineStr">
        <is>
          <t>PPL</t>
        </is>
      </c>
      <c r="F5" s="14" t="n"/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K5" s="13" t="n"/>
      <c r="L5" s="14" t="n"/>
      <c r="M5" s="2" t="inlineStr">
        <is>
          <t>Realisasi</t>
        </is>
      </c>
      <c r="N5" s="13" t="n"/>
      <c r="O5" s="14" t="n"/>
      <c r="P5" s="2" t="inlineStr">
        <is>
          <t>Persentase (%)</t>
        </is>
      </c>
      <c r="Q5" s="2" t="inlineStr">
        <is>
          <t>Keterangan</t>
        </is>
      </c>
    </row>
    <row r="6" ht="20.45" customHeight="1">
      <c r="B6" s="18" t="n"/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G6" s="18" t="n"/>
      <c r="H6" s="18" t="n"/>
      <c r="I6" s="18" t="n"/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  <c r="P6" s="18" t="n"/>
      <c r="Q6" s="18" t="n"/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JULKARNAIN</t>
        </is>
      </c>
      <c r="D8" s="10" t="inlineStr">
        <is>
          <t>520522100030</t>
        </is>
      </c>
      <c r="E8" s="9" t="inlineStr">
        <is>
          <t>Aminullah</t>
        </is>
      </c>
      <c r="F8" s="10" t="inlineStr">
        <is>
          <t>520526050249</t>
        </is>
      </c>
      <c r="G8" s="8" t="inlineStr">
        <is>
          <t>050</t>
        </is>
      </c>
      <c r="H8" s="8" t="inlineStr">
        <is>
          <t>013</t>
        </is>
      </c>
      <c r="I8" s="8" t="inlineStr">
        <is>
          <t>200200</t>
        </is>
      </c>
      <c r="J8" s="8" t="n">
        <v>0</v>
      </c>
      <c r="K8" s="8" t="n">
        <v>2</v>
      </c>
      <c r="L8" s="8">
        <f>J8+K8</f>
        <v/>
      </c>
      <c r="M8" s="8" t="n">
        <v>0</v>
      </c>
      <c r="N8" s="8">
        <f>O8-M8</f>
        <v/>
      </c>
      <c r="O8" s="8" t="n">
        <v>2</v>
      </c>
      <c r="P8" s="8">
        <f>IF(L8=0,100,O8/L8*100)</f>
        <v/>
      </c>
      <c r="Q8" s="11" t="inlineStr"/>
    </row>
    <row r="9">
      <c r="B9" s="8" t="n">
        <v>2</v>
      </c>
      <c r="C9" s="9" t="inlineStr">
        <is>
          <t>JULKARNAIN</t>
        </is>
      </c>
      <c r="D9" s="10" t="inlineStr">
        <is>
          <t>520522100030</t>
        </is>
      </c>
      <c r="E9" s="9" t="inlineStr">
        <is>
          <t>Aminullah</t>
        </is>
      </c>
      <c r="F9" s="10" t="inlineStr">
        <is>
          <t>520526050249</t>
        </is>
      </c>
      <c r="G9" s="8" t="inlineStr">
        <is>
          <t>050</t>
        </is>
      </c>
      <c r="H9" s="8" t="inlineStr">
        <is>
          <t>014</t>
        </is>
      </c>
      <c r="I9" s="8" t="inlineStr">
        <is>
          <t>000200</t>
        </is>
      </c>
      <c r="J9" s="8" t="n">
        <v>123</v>
      </c>
      <c r="K9" s="8" t="n">
        <v>94</v>
      </c>
      <c r="L9" s="8">
        <f>J9+K9</f>
        <v/>
      </c>
      <c r="M9" s="8" t="n">
        <v>5</v>
      </c>
      <c r="N9" s="8">
        <f>O9-M9</f>
        <v/>
      </c>
      <c r="O9" s="8" t="n">
        <v>12</v>
      </c>
      <c r="P9" s="8">
        <f>IF(L9=0,100,O9/L9*100)</f>
        <v/>
      </c>
      <c r="Q9" s="11" t="inlineStr"/>
    </row>
    <row r="10">
      <c r="B10" s="4" t="n">
        <v>3</v>
      </c>
      <c r="C10" s="5" t="inlineStr">
        <is>
          <t>JULKARNAIN</t>
        </is>
      </c>
      <c r="D10" s="6" t="inlineStr">
        <is>
          <t>520522100030</t>
        </is>
      </c>
      <c r="E10" s="5" t="inlineStr">
        <is>
          <t>Aminullah</t>
        </is>
      </c>
      <c r="F10" s="6" t="inlineStr">
        <is>
          <t>520526050249</t>
        </is>
      </c>
      <c r="G10" s="4" t="inlineStr">
        <is>
          <t>050</t>
        </is>
      </c>
      <c r="H10" s="4" t="inlineStr">
        <is>
          <t>014</t>
        </is>
      </c>
      <c r="I10" s="4" t="inlineStr">
        <is>
          <t>000500</t>
        </is>
      </c>
      <c r="J10" s="4" t="n">
        <v>39</v>
      </c>
      <c r="K10" s="4" t="n">
        <v>27</v>
      </c>
      <c r="L10" s="4">
        <f>J10+K10</f>
        <v/>
      </c>
      <c r="M10" s="4" t="n">
        <v>38</v>
      </c>
      <c r="N10" s="4">
        <f>O10-M10</f>
        <v/>
      </c>
      <c r="O10" s="4" t="n">
        <v>68</v>
      </c>
      <c r="P10" s="4">
        <f>IF(L10=0,100,O10/L10*100)</f>
        <v/>
      </c>
      <c r="Q10" s="7" t="inlineStr">
        <is>
          <t>PRIORITAS</t>
        </is>
      </c>
    </row>
    <row r="11">
      <c r="B11" s="4" t="n">
        <v>4</v>
      </c>
      <c r="C11" s="5" t="inlineStr">
        <is>
          <t>JULKARNAIN</t>
        </is>
      </c>
      <c r="D11" s="6" t="inlineStr">
        <is>
          <t>520522100030</t>
        </is>
      </c>
      <c r="E11" s="5" t="inlineStr">
        <is>
          <t>Aminullah</t>
        </is>
      </c>
      <c r="F11" s="6" t="inlineStr">
        <is>
          <t>520526050249</t>
        </is>
      </c>
      <c r="G11" s="4" t="inlineStr">
        <is>
          <t>050</t>
        </is>
      </c>
      <c r="H11" s="4" t="inlineStr">
        <is>
          <t>014</t>
        </is>
      </c>
      <c r="I11" s="4" t="inlineStr">
        <is>
          <t>000600</t>
        </is>
      </c>
      <c r="J11" s="4" t="n">
        <v>69</v>
      </c>
      <c r="K11" s="4" t="n">
        <v>33</v>
      </c>
      <c r="L11" s="4">
        <f>J11+K11</f>
        <v/>
      </c>
      <c r="M11" s="4" t="n">
        <v>73</v>
      </c>
      <c r="N11" s="4">
        <f>O11-M11</f>
        <v/>
      </c>
      <c r="O11" s="4" t="n">
        <v>110</v>
      </c>
      <c r="P11" s="4">
        <f>IF(L11=0,100,O11/L11*100)</f>
        <v/>
      </c>
      <c r="Q11" s="7" t="inlineStr">
        <is>
          <t>PRIORITAS</t>
        </is>
      </c>
    </row>
    <row r="12">
      <c r="B12" s="4" t="n">
        <v>5</v>
      </c>
      <c r="C12" s="5" t="inlineStr">
        <is>
          <t>JULKARNAIN</t>
        </is>
      </c>
      <c r="D12" s="6" t="inlineStr">
        <is>
          <t>520522100030</t>
        </is>
      </c>
      <c r="E12" s="5" t="inlineStr">
        <is>
          <t>Aminullah</t>
        </is>
      </c>
      <c r="F12" s="6" t="inlineStr">
        <is>
          <t>520526050249</t>
        </is>
      </c>
      <c r="G12" s="4" t="inlineStr">
        <is>
          <t>050</t>
        </is>
      </c>
      <c r="H12" s="4" t="inlineStr">
        <is>
          <t>014</t>
        </is>
      </c>
      <c r="I12" s="4" t="inlineStr">
        <is>
          <t>000700</t>
        </is>
      </c>
      <c r="J12" s="4" t="n">
        <v>29</v>
      </c>
      <c r="K12" s="4" t="n">
        <v>9</v>
      </c>
      <c r="L12" s="4">
        <f>J12+K12</f>
        <v/>
      </c>
      <c r="M12" s="4" t="n">
        <v>29</v>
      </c>
      <c r="N12" s="4">
        <f>O12-M12</f>
        <v/>
      </c>
      <c r="O12" s="4" t="n">
        <v>42</v>
      </c>
      <c r="P12" s="4">
        <f>IF(L12=0,100,O12/L12*100)</f>
        <v/>
      </c>
      <c r="Q12" s="7" t="inlineStr">
        <is>
          <t>PRIORITAS</t>
        </is>
      </c>
    </row>
    <row r="13">
      <c r="B13" s="4" t="n">
        <v>6</v>
      </c>
      <c r="C13" s="5" t="inlineStr">
        <is>
          <t>JULKARNAIN</t>
        </is>
      </c>
      <c r="D13" s="6" t="inlineStr">
        <is>
          <t>520522100030</t>
        </is>
      </c>
      <c r="E13" s="5" t="inlineStr">
        <is>
          <t>Aminullah</t>
        </is>
      </c>
      <c r="F13" s="6" t="inlineStr">
        <is>
          <t>520526050249</t>
        </is>
      </c>
      <c r="G13" s="4" t="inlineStr">
        <is>
          <t>050</t>
        </is>
      </c>
      <c r="H13" s="4" t="inlineStr">
        <is>
          <t>014</t>
        </is>
      </c>
      <c r="I13" s="4" t="inlineStr">
        <is>
          <t>000800</t>
        </is>
      </c>
      <c r="J13" s="4" t="n">
        <v>28</v>
      </c>
      <c r="K13" s="4" t="n">
        <v>7</v>
      </c>
      <c r="L13" s="4">
        <f>J13+K13</f>
        <v/>
      </c>
      <c r="M13" s="4" t="n">
        <v>31</v>
      </c>
      <c r="N13" s="4">
        <f>O13-M13</f>
        <v/>
      </c>
      <c r="O13" s="4" t="n">
        <v>40</v>
      </c>
      <c r="P13" s="4">
        <f>IF(L13=0,100,O13/L13*100)</f>
        <v/>
      </c>
      <c r="Q13" s="7" t="inlineStr">
        <is>
          <t>PRIORITAS</t>
        </is>
      </c>
    </row>
    <row r="14">
      <c r="B14" s="8" t="n">
        <v>7</v>
      </c>
      <c r="C14" s="9" t="inlineStr">
        <is>
          <t>JULKARNAIN</t>
        </is>
      </c>
      <c r="D14" s="10" t="inlineStr">
        <is>
          <t>520522100030</t>
        </is>
      </c>
      <c r="E14" s="9" t="inlineStr">
        <is>
          <t>Aminullah</t>
        </is>
      </c>
      <c r="F14" s="10" t="inlineStr">
        <is>
          <t>520526050249</t>
        </is>
      </c>
      <c r="G14" s="8" t="inlineStr">
        <is>
          <t>050</t>
        </is>
      </c>
      <c r="H14" s="8" t="inlineStr">
        <is>
          <t>014</t>
        </is>
      </c>
      <c r="I14" s="8" t="inlineStr">
        <is>
          <t>001100</t>
        </is>
      </c>
      <c r="J14" s="8" t="n">
        <v>13</v>
      </c>
      <c r="K14" s="8" t="n">
        <v>16</v>
      </c>
      <c r="L14" s="8">
        <f>J14+K14</f>
        <v/>
      </c>
      <c r="M14" s="8" t="n">
        <v>6</v>
      </c>
      <c r="N14" s="8">
        <f>O14-M14</f>
        <v/>
      </c>
      <c r="O14" s="8" t="n">
        <v>20</v>
      </c>
      <c r="P14" s="8">
        <f>IF(L14=0,100,O14/L14*100)</f>
        <v/>
      </c>
      <c r="Q14" s="11" t="inlineStr"/>
    </row>
    <row r="15">
      <c r="B15" s="8" t="n">
        <v>8</v>
      </c>
      <c r="C15" s="9" t="inlineStr">
        <is>
          <t>JULKARNAIN</t>
        </is>
      </c>
      <c r="D15" s="10" t="inlineStr">
        <is>
          <t>520522100030</t>
        </is>
      </c>
      <c r="E15" s="9" t="inlineStr">
        <is>
          <t>Aminullah</t>
        </is>
      </c>
      <c r="F15" s="10" t="inlineStr">
        <is>
          <t>520526050249</t>
        </is>
      </c>
      <c r="G15" s="8" t="inlineStr">
        <is>
          <t>050</t>
        </is>
      </c>
      <c r="H15" s="8" t="inlineStr">
        <is>
          <t>014</t>
        </is>
      </c>
      <c r="I15" s="8" t="inlineStr">
        <is>
          <t>001200</t>
        </is>
      </c>
      <c r="J15" s="8" t="n">
        <v>26</v>
      </c>
      <c r="K15" s="8" t="n">
        <v>54</v>
      </c>
      <c r="L15" s="8">
        <f>J15+K15</f>
        <v/>
      </c>
      <c r="M15" s="8" t="n">
        <v>3</v>
      </c>
      <c r="N15" s="8">
        <f>O15-M15</f>
        <v/>
      </c>
      <c r="O15" s="8" t="n">
        <v>34</v>
      </c>
      <c r="P15" s="8">
        <f>IF(L15=0,100,O15/L15*100)</f>
        <v/>
      </c>
      <c r="Q15" s="11" t="inlineStr"/>
    </row>
    <row r="16">
      <c r="B16" s="8" t="n">
        <v>9</v>
      </c>
      <c r="C16" s="9" t="inlineStr">
        <is>
          <t>JULKARNAIN</t>
        </is>
      </c>
      <c r="D16" s="10" t="inlineStr">
        <is>
          <t>520522100030</t>
        </is>
      </c>
      <c r="E16" s="9" t="inlineStr">
        <is>
          <t>Aminullah</t>
        </is>
      </c>
      <c r="F16" s="10" t="inlineStr">
        <is>
          <t>520526050249</t>
        </is>
      </c>
      <c r="G16" s="8" t="inlineStr">
        <is>
          <t>050</t>
        </is>
      </c>
      <c r="H16" s="8" t="inlineStr">
        <is>
          <t>014</t>
        </is>
      </c>
      <c r="I16" s="8" t="inlineStr">
        <is>
          <t>100100</t>
        </is>
      </c>
      <c r="J16" s="8" t="n">
        <v>0</v>
      </c>
      <c r="K16" s="8" t="n">
        <v>10</v>
      </c>
      <c r="L16" s="8">
        <f>J16+K16</f>
        <v/>
      </c>
      <c r="M16" s="8" t="n">
        <v>0</v>
      </c>
      <c r="N16" s="8">
        <f>O16-M16</f>
        <v/>
      </c>
      <c r="O16" s="8" t="n">
        <v>10</v>
      </c>
      <c r="P16" s="8">
        <f>IF(L16=0,100,O16/L16*100)</f>
        <v/>
      </c>
      <c r="Q16" s="11" t="inlineStr"/>
    </row>
    <row r="17">
      <c r="B17" s="8" t="n">
        <v>10</v>
      </c>
      <c r="C17" s="9" t="inlineStr">
        <is>
          <t>JULKARNAIN</t>
        </is>
      </c>
      <c r="D17" s="10" t="inlineStr">
        <is>
          <t>520522100030</t>
        </is>
      </c>
      <c r="E17" s="9" t="inlineStr">
        <is>
          <t>Aminullah</t>
        </is>
      </c>
      <c r="F17" s="10" t="inlineStr">
        <is>
          <t>520526050249</t>
        </is>
      </c>
      <c r="G17" s="8" t="inlineStr">
        <is>
          <t>050</t>
        </is>
      </c>
      <c r="H17" s="8" t="inlineStr">
        <is>
          <t>014</t>
        </is>
      </c>
      <c r="I17" s="8" t="inlineStr">
        <is>
          <t>100200</t>
        </is>
      </c>
      <c r="J17" s="8" t="n">
        <v>0</v>
      </c>
      <c r="K17" s="8" t="n">
        <v>50</v>
      </c>
      <c r="L17" s="8">
        <f>J17+K17</f>
        <v/>
      </c>
      <c r="M17" s="8" t="n">
        <v>0</v>
      </c>
      <c r="N17" s="8">
        <f>O17-M17</f>
        <v/>
      </c>
      <c r="O17" s="8" t="n">
        <v>50</v>
      </c>
      <c r="P17" s="8">
        <f>IF(L17=0,100,O17/L17*100)</f>
        <v/>
      </c>
      <c r="Q17" s="11" t="inlineStr"/>
    </row>
    <row r="18">
      <c r="B18" s="4" t="n">
        <v>11</v>
      </c>
      <c r="C18" s="5" t="inlineStr">
        <is>
          <t>JULKARNAIN</t>
        </is>
      </c>
      <c r="D18" s="6" t="inlineStr">
        <is>
          <t>520522100030</t>
        </is>
      </c>
      <c r="E18" s="5" t="inlineStr">
        <is>
          <t>Aminullah</t>
        </is>
      </c>
      <c r="F18" s="6" t="inlineStr">
        <is>
          <t>520526050249</t>
        </is>
      </c>
      <c r="G18" s="4" t="inlineStr">
        <is>
          <t>050</t>
        </is>
      </c>
      <c r="H18" s="4" t="inlineStr">
        <is>
          <t>014</t>
        </is>
      </c>
      <c r="I18" s="4" t="inlineStr">
        <is>
          <t>200300</t>
        </is>
      </c>
      <c r="J18" s="4" t="n">
        <v>0</v>
      </c>
      <c r="K18" s="4" t="n">
        <v>49</v>
      </c>
      <c r="L18" s="4">
        <f>J18+K18</f>
        <v/>
      </c>
      <c r="M18" s="4" t="n">
        <v>0</v>
      </c>
      <c r="N18" s="4">
        <f>O18-M18</f>
        <v/>
      </c>
      <c r="O18" s="4" t="n">
        <v>49</v>
      </c>
      <c r="P18" s="4">
        <f>IF(L18=0,100,O18/L18*100)</f>
        <v/>
      </c>
      <c r="Q18" s="7" t="inlineStr">
        <is>
          <t>PRIORITAS</t>
        </is>
      </c>
    </row>
    <row r="19">
      <c r="B19" s="12" t="inlineStr">
        <is>
          <t>Jumlah</t>
        </is>
      </c>
      <c r="C19" s="13" t="n"/>
      <c r="D19" s="13" t="n"/>
      <c r="E19" s="13" t="n"/>
      <c r="F19" s="13" t="n"/>
      <c r="G19" s="13" t="n"/>
      <c r="H19" s="13" t="n"/>
      <c r="I19" s="14" t="n"/>
      <c r="J19" s="15">
        <f>SUM(J8:J18)</f>
        <v/>
      </c>
      <c r="K19" s="15">
        <f>SUM(K8:K18)</f>
        <v/>
      </c>
      <c r="L19" s="12">
        <f>SUM(L8:L18)</f>
        <v/>
      </c>
      <c r="M19" s="15">
        <f>SUM(M8:M18)</f>
        <v/>
      </c>
      <c r="N19" s="15">
        <f>SUM(N8:N18)</f>
        <v/>
      </c>
      <c r="O19" s="12">
        <f>SUM(O8:O18)</f>
        <v/>
      </c>
      <c r="P19" s="12">
        <f>IF(L19=0,100,O19/L19*100)</f>
        <v/>
      </c>
      <c r="Q19" s="10" t="inlineStr"/>
    </row>
  </sheetData>
  <mergeCells count="13">
    <mergeCell ref="G5:G6"/>
    <mergeCell ref="P5:P6"/>
    <mergeCell ref="J5:L5"/>
    <mergeCell ref="H5:H6"/>
    <mergeCell ref="Q5:Q6"/>
    <mergeCell ref="B19:I19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1"/>
    <row r="2" ht="24" customHeight="1">
      <c r="B2" s="1" t="inlineStr">
        <is>
          <t>Beban Kerja Petugas Lapangan SE2026 - LK PPK Termin 1 (BATCH 3)</t>
        </is>
      </c>
    </row>
    <row r="3" ht="24" customHeight="1">
      <c r="B3" s="1" t="inlineStr">
        <is>
          <t>PPL: Waliey muftihakam marza karyadi  |  PML: SALAHUDDIN  |  Kab. Dompu, NTB</t>
        </is>
      </c>
    </row>
    <row r="4"/>
    <row r="5" ht="30.95" customHeight="1">
      <c r="B5" s="2" t="inlineStr">
        <is>
          <t>No</t>
        </is>
      </c>
      <c r="C5" s="2" t="inlineStr">
        <is>
          <t>PML</t>
        </is>
      </c>
      <c r="D5" s="14" t="n"/>
      <c r="E5" s="2" t="inlineStr">
        <is>
          <t>PPL</t>
        </is>
      </c>
      <c r="F5" s="14" t="n"/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K5" s="13" t="n"/>
      <c r="L5" s="14" t="n"/>
      <c r="M5" s="2" t="inlineStr">
        <is>
          <t>Realisasi</t>
        </is>
      </c>
      <c r="N5" s="13" t="n"/>
      <c r="O5" s="14" t="n"/>
      <c r="P5" s="2" t="inlineStr">
        <is>
          <t>Persentase (%)</t>
        </is>
      </c>
      <c r="Q5" s="2" t="inlineStr">
        <is>
          <t>Keterangan</t>
        </is>
      </c>
    </row>
    <row r="6" ht="20.45" customHeight="1">
      <c r="B6" s="18" t="n"/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G6" s="18" t="n"/>
      <c r="H6" s="18" t="n"/>
      <c r="I6" s="18" t="n"/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 *²</t>
        </is>
      </c>
      <c r="O6" s="2" t="inlineStr">
        <is>
          <t>Jumlah *³</t>
        </is>
      </c>
      <c r="P6" s="18" t="n"/>
      <c r="Q6" s="18" t="n"/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4" t="n">
        <v>1</v>
      </c>
      <c r="C8" s="5" t="inlineStr">
        <is>
          <t>SALAHUDDIN</t>
        </is>
      </c>
      <c r="D8" s="6" t="inlineStr">
        <is>
          <t>520522030029</t>
        </is>
      </c>
      <c r="E8" s="5" t="inlineStr">
        <is>
          <t>Waliey muftihakam marza karyadi</t>
        </is>
      </c>
      <c r="F8" s="6" t="inlineStr">
        <is>
          <t>520526050266</t>
        </is>
      </c>
      <c r="G8" s="4" t="inlineStr">
        <is>
          <t>050</t>
        </is>
      </c>
      <c r="H8" s="4" t="inlineStr">
        <is>
          <t>009</t>
        </is>
      </c>
      <c r="I8" s="4" t="inlineStr">
        <is>
          <t>000500</t>
        </is>
      </c>
      <c r="J8" s="4" t="n">
        <v>69</v>
      </c>
      <c r="K8" s="4" t="n">
        <v>73</v>
      </c>
      <c r="L8" s="4">
        <f>J8+K8</f>
        <v/>
      </c>
      <c r="M8" s="4" t="n">
        <v>79</v>
      </c>
      <c r="N8" s="4">
        <f>O8-M8</f>
        <v/>
      </c>
      <c r="O8" s="4" t="n">
        <v>161</v>
      </c>
      <c r="P8" s="4">
        <f>IF(L8=0,100,O8/L8*100)</f>
        <v/>
      </c>
      <c r="Q8" s="7" t="inlineStr">
        <is>
          <t>PRIORITAS</t>
        </is>
      </c>
    </row>
    <row r="9">
      <c r="B9" s="4" t="n">
        <v>2</v>
      </c>
      <c r="C9" s="5" t="inlineStr">
        <is>
          <t>SALAHUDDIN</t>
        </is>
      </c>
      <c r="D9" s="6" t="inlineStr">
        <is>
          <t>520522030029</t>
        </is>
      </c>
      <c r="E9" s="5" t="inlineStr">
        <is>
          <t>Waliey muftihakam marza karyadi</t>
        </is>
      </c>
      <c r="F9" s="6" t="inlineStr">
        <is>
          <t>520526050266</t>
        </is>
      </c>
      <c r="G9" s="4" t="inlineStr">
        <is>
          <t>050</t>
        </is>
      </c>
      <c r="H9" s="4" t="inlineStr">
        <is>
          <t>009</t>
        </is>
      </c>
      <c r="I9" s="4" t="inlineStr">
        <is>
          <t>001200</t>
        </is>
      </c>
      <c r="J9" s="4" t="n">
        <v>68</v>
      </c>
      <c r="K9" s="4" t="n">
        <v>27</v>
      </c>
      <c r="L9" s="4">
        <f>J9+K9</f>
        <v/>
      </c>
      <c r="M9" s="4" t="n">
        <v>79</v>
      </c>
      <c r="N9" s="4">
        <f>O9-M9</f>
        <v/>
      </c>
      <c r="O9" s="4" t="n">
        <v>112</v>
      </c>
      <c r="P9" s="4">
        <f>IF(L9=0,100,O9/L9*100)</f>
        <v/>
      </c>
      <c r="Q9" s="7" t="inlineStr">
        <is>
          <t>PRIORITAS</t>
        </is>
      </c>
    </row>
    <row r="10">
      <c r="B10" s="8" t="n">
        <v>3</v>
      </c>
      <c r="C10" s="9" t="inlineStr">
        <is>
          <t>SALAHUDDIN</t>
        </is>
      </c>
      <c r="D10" s="10" t="inlineStr">
        <is>
          <t>520522030029</t>
        </is>
      </c>
      <c r="E10" s="9" t="inlineStr">
        <is>
          <t>Waliey muftihakam marza karyadi</t>
        </is>
      </c>
      <c r="F10" s="10" t="inlineStr">
        <is>
          <t>520526050266</t>
        </is>
      </c>
      <c r="G10" s="8" t="inlineStr">
        <is>
          <t>050</t>
        </is>
      </c>
      <c r="H10" s="8" t="inlineStr">
        <is>
          <t>009</t>
        </is>
      </c>
      <c r="I10" s="8" t="inlineStr">
        <is>
          <t>001300</t>
        </is>
      </c>
      <c r="J10" s="8" t="n">
        <v>62</v>
      </c>
      <c r="K10" s="8" t="n">
        <v>27</v>
      </c>
      <c r="L10" s="8">
        <f>J10+K10</f>
        <v/>
      </c>
      <c r="M10" s="8" t="n">
        <v>5</v>
      </c>
      <c r="N10" s="8">
        <f>O10-M10</f>
        <v/>
      </c>
      <c r="O10" s="8" t="n">
        <v>22</v>
      </c>
      <c r="P10" s="8">
        <f>IF(L10=0,100,O10/L10*100)</f>
        <v/>
      </c>
      <c r="Q10" s="11" t="inlineStr"/>
    </row>
    <row r="11">
      <c r="B11" s="4" t="n">
        <v>4</v>
      </c>
      <c r="C11" s="5" t="inlineStr">
        <is>
          <t>SALAHUDDIN</t>
        </is>
      </c>
      <c r="D11" s="6" t="inlineStr">
        <is>
          <t>520522030029</t>
        </is>
      </c>
      <c r="E11" s="5" t="inlineStr">
        <is>
          <t>Waliey muftihakam marza karyadi</t>
        </is>
      </c>
      <c r="F11" s="6" t="inlineStr">
        <is>
          <t>520526050266</t>
        </is>
      </c>
      <c r="G11" s="4" t="inlineStr">
        <is>
          <t>050</t>
        </is>
      </c>
      <c r="H11" s="4" t="inlineStr">
        <is>
          <t>009</t>
        </is>
      </c>
      <c r="I11" s="4" t="inlineStr">
        <is>
          <t>001400</t>
        </is>
      </c>
      <c r="J11" s="4" t="n">
        <v>36</v>
      </c>
      <c r="K11" s="4" t="n">
        <v>16</v>
      </c>
      <c r="L11" s="4">
        <f>J11+K11</f>
        <v/>
      </c>
      <c r="M11" s="4" t="n">
        <v>46</v>
      </c>
      <c r="N11" s="4">
        <f>O11-M11</f>
        <v/>
      </c>
      <c r="O11" s="4" t="n">
        <v>68</v>
      </c>
      <c r="P11" s="4">
        <f>IF(L11=0,100,O11/L11*100)</f>
        <v/>
      </c>
      <c r="Q11" s="7" t="inlineStr">
        <is>
          <t>PRIORITAS</t>
        </is>
      </c>
    </row>
    <row r="12">
      <c r="B12" s="8" t="n">
        <v>5</v>
      </c>
      <c r="C12" s="9" t="inlineStr">
        <is>
          <t>SALAHUDDIN</t>
        </is>
      </c>
      <c r="D12" s="10" t="inlineStr">
        <is>
          <t>520522030029</t>
        </is>
      </c>
      <c r="E12" s="9" t="inlineStr">
        <is>
          <t>Waliey muftihakam marza karyadi</t>
        </is>
      </c>
      <c r="F12" s="10" t="inlineStr">
        <is>
          <t>520526050266</t>
        </is>
      </c>
      <c r="G12" s="8" t="inlineStr">
        <is>
          <t>050</t>
        </is>
      </c>
      <c r="H12" s="8" t="inlineStr">
        <is>
          <t>009</t>
        </is>
      </c>
      <c r="I12" s="8" t="inlineStr">
        <is>
          <t>001500</t>
        </is>
      </c>
      <c r="J12" s="8" t="n">
        <v>57</v>
      </c>
      <c r="K12" s="8" t="n">
        <v>34</v>
      </c>
      <c r="L12" s="8">
        <f>J12+K12</f>
        <v/>
      </c>
      <c r="M12" s="8" t="n">
        <v>2</v>
      </c>
      <c r="N12" s="8">
        <f>O12-M12</f>
        <v/>
      </c>
      <c r="O12" s="8" t="n">
        <v>9</v>
      </c>
      <c r="P12" s="8">
        <f>IF(L12=0,100,O12/L12*100)</f>
        <v/>
      </c>
      <c r="Q12" s="11" t="inlineStr"/>
    </row>
    <row r="13">
      <c r="B13" s="8" t="n">
        <v>6</v>
      </c>
      <c r="C13" s="9" t="inlineStr">
        <is>
          <t>SALAHUDDIN</t>
        </is>
      </c>
      <c r="D13" s="10" t="inlineStr">
        <is>
          <t>520522030029</t>
        </is>
      </c>
      <c r="E13" s="9" t="inlineStr">
        <is>
          <t>Waliey muftihakam marza karyadi</t>
        </is>
      </c>
      <c r="F13" s="10" t="inlineStr">
        <is>
          <t>520526050266</t>
        </is>
      </c>
      <c r="G13" s="8" t="inlineStr">
        <is>
          <t>050</t>
        </is>
      </c>
      <c r="H13" s="8" t="inlineStr">
        <is>
          <t>009</t>
        </is>
      </c>
      <c r="I13" s="8" t="inlineStr">
        <is>
          <t>001600</t>
        </is>
      </c>
      <c r="J13" s="8" t="n">
        <v>36</v>
      </c>
      <c r="K13" s="8" t="n">
        <v>9</v>
      </c>
      <c r="L13" s="8">
        <f>J13+K13</f>
        <v/>
      </c>
      <c r="M13" s="8" t="n">
        <v>25</v>
      </c>
      <c r="N13" s="8">
        <f>O13-M13</f>
        <v/>
      </c>
      <c r="O13" s="8" t="n">
        <v>37</v>
      </c>
      <c r="P13" s="8">
        <f>IF(L13=0,100,O13/L13*100)</f>
        <v/>
      </c>
      <c r="Q13" s="11" t="inlineStr"/>
    </row>
    <row r="14">
      <c r="B14" s="8" t="n">
        <v>7</v>
      </c>
      <c r="C14" s="9" t="inlineStr">
        <is>
          <t>SALAHUDDIN</t>
        </is>
      </c>
      <c r="D14" s="10" t="inlineStr">
        <is>
          <t>520522030029</t>
        </is>
      </c>
      <c r="E14" s="9" t="inlineStr">
        <is>
          <t>Waliey muftihakam marza karyadi</t>
        </is>
      </c>
      <c r="F14" s="10" t="inlineStr">
        <is>
          <t>520526050266</t>
        </is>
      </c>
      <c r="G14" s="8" t="inlineStr">
        <is>
          <t>050</t>
        </is>
      </c>
      <c r="H14" s="8" t="inlineStr">
        <is>
          <t>009</t>
        </is>
      </c>
      <c r="I14" s="8" t="inlineStr">
        <is>
          <t>100200</t>
        </is>
      </c>
      <c r="J14" s="8" t="n">
        <v>0</v>
      </c>
      <c r="K14" s="8" t="n">
        <v>2</v>
      </c>
      <c r="L14" s="8">
        <f>J14+K14</f>
        <v/>
      </c>
      <c r="M14" s="8" t="n">
        <v>0</v>
      </c>
      <c r="N14" s="8">
        <f>O14-M14</f>
        <v/>
      </c>
      <c r="O14" s="8" t="n">
        <v>2</v>
      </c>
      <c r="P14" s="8">
        <f>IF(L14=0,100,O14/L14*100)</f>
        <v/>
      </c>
      <c r="Q14" s="11" t="inlineStr"/>
    </row>
    <row r="15">
      <c r="B15" s="4" t="n">
        <v>8</v>
      </c>
      <c r="C15" s="5" t="inlineStr">
        <is>
          <t>SALAHUDDIN</t>
        </is>
      </c>
      <c r="D15" s="6" t="inlineStr">
        <is>
          <t>520522030029</t>
        </is>
      </c>
      <c r="E15" s="5" t="inlineStr">
        <is>
          <t>Waliey muftihakam marza karyadi</t>
        </is>
      </c>
      <c r="F15" s="6" t="inlineStr">
        <is>
          <t>520526050266</t>
        </is>
      </c>
      <c r="G15" s="4" t="inlineStr">
        <is>
          <t>050</t>
        </is>
      </c>
      <c r="H15" s="4" t="inlineStr">
        <is>
          <t>009</t>
        </is>
      </c>
      <c r="I15" s="4" t="inlineStr">
        <is>
          <t>100300</t>
        </is>
      </c>
      <c r="J15" s="4" t="n">
        <v>0</v>
      </c>
      <c r="K15" s="4" t="n">
        <v>7</v>
      </c>
      <c r="L15" s="4">
        <f>J15+K15</f>
        <v/>
      </c>
      <c r="M15" s="4" t="n">
        <v>0</v>
      </c>
      <c r="N15" s="4">
        <f>O15-M15</f>
        <v/>
      </c>
      <c r="O15" s="4" t="n">
        <v>7</v>
      </c>
      <c r="P15" s="4">
        <f>IF(L15=0,100,O15/L15*100)</f>
        <v/>
      </c>
      <c r="Q15" s="7" t="inlineStr">
        <is>
          <t>PRIORITAS</t>
        </is>
      </c>
    </row>
    <row r="16">
      <c r="B16" s="8" t="n">
        <v>9</v>
      </c>
      <c r="C16" s="9" t="inlineStr">
        <is>
          <t>SALAHUDDIN</t>
        </is>
      </c>
      <c r="D16" s="10" t="inlineStr">
        <is>
          <t>520522030029</t>
        </is>
      </c>
      <c r="E16" s="9" t="inlineStr">
        <is>
          <t>Waliey muftihakam marza karyadi</t>
        </is>
      </c>
      <c r="F16" s="10" t="inlineStr">
        <is>
          <t>520526050266</t>
        </is>
      </c>
      <c r="G16" s="8" t="inlineStr">
        <is>
          <t>050</t>
        </is>
      </c>
      <c r="H16" s="8" t="inlineStr">
        <is>
          <t>009</t>
        </is>
      </c>
      <c r="I16" s="8" t="inlineStr">
        <is>
          <t>200100</t>
        </is>
      </c>
      <c r="J16" s="8" t="n">
        <v>0</v>
      </c>
      <c r="K16" s="8" t="n">
        <v>14</v>
      </c>
      <c r="L16" s="8">
        <f>J16+K16</f>
        <v/>
      </c>
      <c r="M16" s="8" t="n">
        <v>0</v>
      </c>
      <c r="N16" s="8">
        <f>O16-M16</f>
        <v/>
      </c>
      <c r="O16" s="8" t="n">
        <v>14</v>
      </c>
      <c r="P16" s="8">
        <f>IF(L16=0,100,O16/L16*100)</f>
        <v/>
      </c>
      <c r="Q16" s="11" t="inlineStr"/>
    </row>
    <row r="17">
      <c r="B17" s="12" t="inlineStr">
        <is>
          <t>Jumlah</t>
        </is>
      </c>
      <c r="C17" s="13" t="n"/>
      <c r="D17" s="13" t="n"/>
      <c r="E17" s="13" t="n"/>
      <c r="F17" s="13" t="n"/>
      <c r="G17" s="13" t="n"/>
      <c r="H17" s="13" t="n"/>
      <c r="I17" s="14" t="n"/>
      <c r="J17" s="15">
        <f>SUM(J8:J16)</f>
        <v/>
      </c>
      <c r="K17" s="15">
        <f>SUM(K8:K16)</f>
        <v/>
      </c>
      <c r="L17" s="12">
        <f>SUM(L8:L16)</f>
        <v/>
      </c>
      <c r="M17" s="15">
        <f>SUM(M8:M16)</f>
        <v/>
      </c>
      <c r="N17" s="15">
        <f>SUM(N8:N16)</f>
        <v/>
      </c>
      <c r="O17" s="12">
        <f>SUM(O8:O16)</f>
        <v/>
      </c>
      <c r="P17" s="12">
        <f>IF(L17=0,100,O17/L17*100)</f>
        <v/>
      </c>
      <c r="Q17" s="10" t="inlineStr"/>
    </row>
  </sheetData>
  <mergeCells count="13">
    <mergeCell ref="G5:G6"/>
    <mergeCell ref="P5:P6"/>
    <mergeCell ref="J5:L5"/>
    <mergeCell ref="H5:H6"/>
    <mergeCell ref="Q5:Q6"/>
    <mergeCell ref="B17:I17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2026-07-25T00:00:00Z</dcterms:created>
  <dcterms:modified xmlns:dcterms="http://purl.org/dc/terms/" xmlns:xsi="http://www.w3.org/2001/XMLSchema-instance" xsi:type="dcterms:W3CDTF">2026-07-25T00:00:00Z</dcterms:modified>
</cp:coreProperties>
</file>