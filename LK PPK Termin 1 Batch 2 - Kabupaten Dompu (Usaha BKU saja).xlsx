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 Semua PPL" sheetId="1" state="visible" r:id="rId1"/>
    <sheet xmlns:r="http://schemas.openxmlformats.org/officeDocument/2006/relationships" name="Bahril Qamar" sheetId="2" state="visible" r:id="rId2"/>
    <sheet xmlns:r="http://schemas.openxmlformats.org/officeDocument/2006/relationships" name="Husnul Wahyu Lestari" sheetId="3" state="visible" r:id="rId3"/>
    <sheet xmlns:r="http://schemas.openxmlformats.org/officeDocument/2006/relationships" name="IFA NURUL AISYAH" sheetId="4" state="visible" r:id="rId4"/>
    <sheet xmlns:r="http://schemas.openxmlformats.org/officeDocument/2006/relationships" name="Moh Ma'ruf" sheetId="5" state="visible" r:id="rId5"/>
    <sheet xmlns:r="http://schemas.openxmlformats.org/officeDocument/2006/relationships" name="Nurlailah" sheetId="6" state="visible" r:id="rId6"/>
    <sheet xmlns:r="http://schemas.openxmlformats.org/officeDocument/2006/relationships" name="Rachmad Soebari" sheetId="7" state="visible" r:id="rId7"/>
    <sheet xmlns:r="http://schemas.openxmlformats.org/officeDocument/2006/relationships" name="Sri Handayani" sheetId="8" state="visible" r:id="rId8"/>
    <sheet xmlns:r="http://schemas.openxmlformats.org/officeDocument/2006/relationships" name="Triana Amalia ND" sheetId="9" state="visible" r:id="rId9"/>
    <sheet xmlns:r="http://schemas.openxmlformats.org/officeDocument/2006/relationships" name="Amrizal" sheetId="10" state="visible" r:id="rId10"/>
    <sheet xmlns:r="http://schemas.openxmlformats.org/officeDocument/2006/relationships" name="ANWAR RIFAID" sheetId="11" state="visible" r:id="rId11"/>
    <sheet xmlns:r="http://schemas.openxmlformats.org/officeDocument/2006/relationships" name="Muhammad Arkham" sheetId="12" state="visible" r:id="rId12"/>
    <sheet xmlns:r="http://schemas.openxmlformats.org/officeDocument/2006/relationships" name="Titin Fatmawati" sheetId="13" state="visible" r:id="rId13"/>
    <sheet xmlns:r="http://schemas.openxmlformats.org/officeDocument/2006/relationships" name="Ayu wandira" sheetId="14" state="visible" r:id="rId14"/>
    <sheet xmlns:r="http://schemas.openxmlformats.org/officeDocument/2006/relationships" name="MIRJAN ALHALIK" sheetId="15" state="visible" r:id="rId15"/>
    <sheet xmlns:r="http://schemas.openxmlformats.org/officeDocument/2006/relationships" name="EKO ANSHARI" sheetId="16" state="visible" r:id="rId16"/>
    <sheet xmlns:r="http://schemas.openxmlformats.org/officeDocument/2006/relationships" name="Nurul Khotimah" sheetId="17" state="visible" r:id="rId17"/>
    <sheet xmlns:r="http://schemas.openxmlformats.org/officeDocument/2006/relationships" name="SRI SUSANTI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b val="1"/>
      <sz val="8"/>
    </font>
    <font>
      <sz val="11"/>
    </font>
    <font>
      <sz val="10"/>
    </font>
    <font>
      <b val="1"/>
      <color rgb="009C6500"/>
      <sz val="9"/>
    </font>
    <font>
      <color rgb="00000000"/>
      <sz val="9"/>
    </font>
    <font>
      <b val="1"/>
      <sz val="11"/>
    </font>
    <font>
      <b val="1"/>
      <color rgb="FF000000"/>
      <sz val="11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FF000000"/>
        <bgColor rgb="FF000000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9" fillId="3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9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1"/>
    <row r="2" ht="24" customHeight="1">
      <c r="B2" s="1" t="inlineStr">
        <is>
          <t>Beban Kerja Petugas Lapangan SE2026 - LK PPK Termin 1 (BATCH 2, REKAP)</t>
        </is>
      </c>
    </row>
    <row r="3" ht="24" customHeight="1">
      <c r="B3" s="1" t="inlineStr">
        <is>
          <t>Kabupaten Dompu, NTB — Realisasi Usaha = BKU saja (tanpa Usaha dalam Keluarga)</t>
        </is>
      </c>
    </row>
    <row r="4"/>
    <row r="5" ht="30.95" customHeight="1">
      <c r="B5" s="2" t="inlineStr">
        <is>
          <t>No</t>
        </is>
      </c>
      <c r="C5" s="2" t="inlineStr">
        <is>
          <t>PML</t>
        </is>
      </c>
      <c r="D5" s="14" t="n"/>
      <c r="E5" s="2" t="inlineStr">
        <is>
          <t>PPL</t>
        </is>
      </c>
      <c r="F5" s="14" t="n"/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K5" s="13" t="n"/>
      <c r="L5" s="14" t="n"/>
      <c r="M5" s="2" t="inlineStr">
        <is>
          <t>Realisasi</t>
        </is>
      </c>
      <c r="N5" s="13" t="n"/>
      <c r="O5" s="14" t="n"/>
      <c r="P5" s="2" t="inlineStr">
        <is>
          <t>Persentase (%)</t>
        </is>
      </c>
      <c r="Q5" s="2" t="inlineStr">
        <is>
          <t>Keterangan</t>
        </is>
      </c>
    </row>
    <row r="6" ht="20.45" customHeight="1">
      <c r="B6" s="18" t="n"/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G6" s="18" t="n"/>
      <c r="H6" s="18" t="n"/>
      <c r="I6" s="18" t="n"/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(BKU)</t>
        </is>
      </c>
      <c r="O6" s="2" t="inlineStr">
        <is>
          <t>Jumlah</t>
        </is>
      </c>
      <c r="P6" s="18" t="n"/>
      <c r="Q6" s="18" t="n"/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HAERUDDIN</t>
        </is>
      </c>
      <c r="D8" s="6" t="inlineStr">
        <is>
          <t>520522030054</t>
        </is>
      </c>
      <c r="E8" s="5" t="inlineStr">
        <is>
          <t>Bahril Qamar</t>
        </is>
      </c>
      <c r="F8" s="6" t="inlineStr">
        <is>
          <t>520522100013</t>
        </is>
      </c>
      <c r="G8" s="4" t="inlineStr">
        <is>
          <t>020</t>
        </is>
      </c>
      <c r="H8" s="4" t="inlineStr">
        <is>
          <t>016</t>
        </is>
      </c>
      <c r="I8" s="4" t="inlineStr">
        <is>
          <t>000100</t>
        </is>
      </c>
      <c r="J8" s="4" t="n">
        <v>92</v>
      </c>
      <c r="K8" s="4" t="n">
        <v>38</v>
      </c>
      <c r="L8" s="4">
        <f>J8+K8</f>
        <v/>
      </c>
      <c r="M8" s="4" t="n">
        <v>98</v>
      </c>
      <c r="N8" s="4" t="n">
        <v>37</v>
      </c>
      <c r="O8" s="4">
        <f>M8+N8</f>
        <v/>
      </c>
      <c r="P8" s="4">
        <f>IF(L8=0,100,O8/L8*100)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HAERUDDIN</t>
        </is>
      </c>
      <c r="D9" s="6" t="inlineStr">
        <is>
          <t>520522030054</t>
        </is>
      </c>
      <c r="E9" s="5" t="inlineStr">
        <is>
          <t>Bahril Qamar</t>
        </is>
      </c>
      <c r="F9" s="6" t="inlineStr">
        <is>
          <t>520522100013</t>
        </is>
      </c>
      <c r="G9" s="4" t="inlineStr">
        <is>
          <t>020</t>
        </is>
      </c>
      <c r="H9" s="4" t="inlineStr">
        <is>
          <t>016</t>
        </is>
      </c>
      <c r="I9" s="4" t="inlineStr">
        <is>
          <t>000200</t>
        </is>
      </c>
      <c r="J9" s="4" t="n">
        <v>60</v>
      </c>
      <c r="K9" s="4" t="n">
        <v>14</v>
      </c>
      <c r="L9" s="4">
        <f>J9+K9</f>
        <v/>
      </c>
      <c r="M9" s="4" t="n">
        <v>63</v>
      </c>
      <c r="N9" s="4" t="n">
        <v>12</v>
      </c>
      <c r="O9" s="4">
        <f>M9+N9</f>
        <v/>
      </c>
      <c r="P9" s="4">
        <f>IF(L9=0,100,O9/L9*100)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HAERUDDIN</t>
        </is>
      </c>
      <c r="D10" s="10" t="inlineStr">
        <is>
          <t>520522030054</t>
        </is>
      </c>
      <c r="E10" s="9" t="inlineStr">
        <is>
          <t>Bahril Qamar</t>
        </is>
      </c>
      <c r="F10" s="10" t="inlineStr">
        <is>
          <t>520522100013</t>
        </is>
      </c>
      <c r="G10" s="8" t="inlineStr">
        <is>
          <t>020</t>
        </is>
      </c>
      <c r="H10" s="8" t="inlineStr">
        <is>
          <t>016</t>
        </is>
      </c>
      <c r="I10" s="8" t="inlineStr">
        <is>
          <t>000300</t>
        </is>
      </c>
      <c r="J10" s="8" t="n">
        <v>58</v>
      </c>
      <c r="K10" s="8" t="n">
        <v>23</v>
      </c>
      <c r="L10" s="8">
        <f>J10+K10</f>
        <v/>
      </c>
      <c r="M10" s="8" t="n">
        <v>0</v>
      </c>
      <c r="N10" s="8" t="n">
        <v>0</v>
      </c>
      <c r="O10" s="8">
        <f>M10+N10</f>
        <v/>
      </c>
      <c r="P10" s="8">
        <f>IF(L10=0,100,O10/L10*100)</f>
        <v/>
      </c>
      <c r="Q10" s="11" t="inlineStr"/>
    </row>
    <row r="11">
      <c r="B11" s="8" t="n">
        <v>4</v>
      </c>
      <c r="C11" s="9" t="inlineStr">
        <is>
          <t>HAERUDDIN</t>
        </is>
      </c>
      <c r="D11" s="10" t="inlineStr">
        <is>
          <t>520522030054</t>
        </is>
      </c>
      <c r="E11" s="9" t="inlineStr">
        <is>
          <t>Bahril Qamar</t>
        </is>
      </c>
      <c r="F11" s="10" t="inlineStr">
        <is>
          <t>520522100013</t>
        </is>
      </c>
      <c r="G11" s="8" t="inlineStr">
        <is>
          <t>020</t>
        </is>
      </c>
      <c r="H11" s="8" t="inlineStr">
        <is>
          <t>016</t>
        </is>
      </c>
      <c r="I11" s="8" t="inlineStr">
        <is>
          <t>000400</t>
        </is>
      </c>
      <c r="J11" s="8" t="n">
        <v>68</v>
      </c>
      <c r="K11" s="8" t="n">
        <v>22</v>
      </c>
      <c r="L11" s="8">
        <f>J11+K11</f>
        <v/>
      </c>
      <c r="M11" s="8" t="n">
        <v>0</v>
      </c>
      <c r="N11" s="8" t="n">
        <v>0</v>
      </c>
      <c r="O11" s="8">
        <f>M11+N11</f>
        <v/>
      </c>
      <c r="P11" s="8">
        <f>IF(L11=0,100,O11/L11*100)</f>
        <v/>
      </c>
      <c r="Q11" s="11" t="inlineStr"/>
    </row>
    <row r="12">
      <c r="B12" s="4" t="n">
        <v>5</v>
      </c>
      <c r="C12" s="5" t="inlineStr">
        <is>
          <t>HAERUDDIN</t>
        </is>
      </c>
      <c r="D12" s="6" t="inlineStr">
        <is>
          <t>520522030054</t>
        </is>
      </c>
      <c r="E12" s="5" t="inlineStr">
        <is>
          <t>Bahril Qamar</t>
        </is>
      </c>
      <c r="F12" s="6" t="inlineStr">
        <is>
          <t>520522100013</t>
        </is>
      </c>
      <c r="G12" s="4" t="inlineStr">
        <is>
          <t>020</t>
        </is>
      </c>
      <c r="H12" s="4" t="inlineStr">
        <is>
          <t>016</t>
        </is>
      </c>
      <c r="I12" s="4" t="inlineStr">
        <is>
          <t>000500</t>
        </is>
      </c>
      <c r="J12" s="4" t="n">
        <v>93</v>
      </c>
      <c r="K12" s="4" t="n">
        <v>29</v>
      </c>
      <c r="L12" s="4">
        <f>J12+K12</f>
        <v/>
      </c>
      <c r="M12" s="4" t="n">
        <v>112</v>
      </c>
      <c r="N12" s="4" t="n">
        <v>27</v>
      </c>
      <c r="O12" s="4">
        <f>M12+N12</f>
        <v/>
      </c>
      <c r="P12" s="4">
        <f>IF(L12=0,100,O12/L12*100)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HAERUDDIN</t>
        </is>
      </c>
      <c r="D13" s="10" t="inlineStr">
        <is>
          <t>520522030054</t>
        </is>
      </c>
      <c r="E13" s="9" t="inlineStr">
        <is>
          <t>Bahril Qamar</t>
        </is>
      </c>
      <c r="F13" s="10" t="inlineStr">
        <is>
          <t>520522100013</t>
        </is>
      </c>
      <c r="G13" s="8" t="inlineStr">
        <is>
          <t>020</t>
        </is>
      </c>
      <c r="H13" s="8" t="inlineStr">
        <is>
          <t>016</t>
        </is>
      </c>
      <c r="I13" s="8" t="inlineStr">
        <is>
          <t>000600</t>
        </is>
      </c>
      <c r="J13" s="8" t="n">
        <v>106</v>
      </c>
      <c r="K13" s="8" t="n">
        <v>27</v>
      </c>
      <c r="L13" s="8">
        <f>J13+K13</f>
        <v/>
      </c>
      <c r="M13" s="8" t="n">
        <v>42</v>
      </c>
      <c r="N13" s="8" t="n">
        <v>1</v>
      </c>
      <c r="O13" s="8">
        <f>M13+N13</f>
        <v/>
      </c>
      <c r="P13" s="8">
        <f>IF(L13=0,100,O13/L13*100)</f>
        <v/>
      </c>
      <c r="Q13" s="11" t="inlineStr"/>
    </row>
    <row r="14">
      <c r="B14" s="8" t="n">
        <v>7</v>
      </c>
      <c r="C14" s="9" t="inlineStr">
        <is>
          <t>HAERUDDIN</t>
        </is>
      </c>
      <c r="D14" s="10" t="inlineStr">
        <is>
          <t>520522030054</t>
        </is>
      </c>
      <c r="E14" s="9" t="inlineStr">
        <is>
          <t>Bahril Qamar</t>
        </is>
      </c>
      <c r="F14" s="10" t="inlineStr">
        <is>
          <t>520522100013</t>
        </is>
      </c>
      <c r="G14" s="8" t="inlineStr">
        <is>
          <t>020</t>
        </is>
      </c>
      <c r="H14" s="8" t="inlineStr">
        <is>
          <t>016</t>
        </is>
      </c>
      <c r="I14" s="8" t="inlineStr">
        <is>
          <t>100100</t>
        </is>
      </c>
      <c r="J14" s="8" t="n">
        <v>0</v>
      </c>
      <c r="K14" s="8" t="n">
        <v>14</v>
      </c>
      <c r="L14" s="8">
        <f>J14+K14</f>
        <v/>
      </c>
      <c r="M14" s="8" t="n">
        <v>0</v>
      </c>
      <c r="N14" s="8" t="n">
        <v>0</v>
      </c>
      <c r="O14" s="8">
        <f>M14+N14</f>
        <v/>
      </c>
      <c r="P14" s="8">
        <f>IF(L14=0,100,O14/L14*100)</f>
        <v/>
      </c>
      <c r="Q14" s="11" t="inlineStr"/>
    </row>
    <row r="15">
      <c r="B15" s="8" t="n">
        <v>8</v>
      </c>
      <c r="C15" s="9" t="inlineStr">
        <is>
          <t>HAERUDDIN</t>
        </is>
      </c>
      <c r="D15" s="10" t="inlineStr">
        <is>
          <t>520522030054</t>
        </is>
      </c>
      <c r="E15" s="9" t="inlineStr">
        <is>
          <t>Husnul Wahyu Lestari</t>
        </is>
      </c>
      <c r="F15" s="10" t="inlineStr">
        <is>
          <t>520526050273</t>
        </is>
      </c>
      <c r="G15" s="8" t="inlineStr">
        <is>
          <t>020</t>
        </is>
      </c>
      <c r="H15" s="8" t="inlineStr">
        <is>
          <t>008</t>
        </is>
      </c>
      <c r="I15" s="8" t="inlineStr">
        <is>
          <t>001000</t>
        </is>
      </c>
      <c r="J15" s="8" t="n">
        <v>75</v>
      </c>
      <c r="K15" s="8" t="n">
        <v>34</v>
      </c>
      <c r="L15" s="8">
        <f>J15+K15</f>
        <v/>
      </c>
      <c r="M15" s="8" t="n">
        <v>6</v>
      </c>
      <c r="N15" s="8" t="n">
        <v>8</v>
      </c>
      <c r="O15" s="8">
        <f>M15+N15</f>
        <v/>
      </c>
      <c r="P15" s="8">
        <f>IF(L15=0,100,O15/L15*100)</f>
        <v/>
      </c>
      <c r="Q15" s="11" t="inlineStr"/>
    </row>
    <row r="16">
      <c r="B16" s="8" t="n">
        <v>9</v>
      </c>
      <c r="C16" s="9" t="inlineStr">
        <is>
          <t>HAERUDDIN</t>
        </is>
      </c>
      <c r="D16" s="10" t="inlineStr">
        <is>
          <t>520522030054</t>
        </is>
      </c>
      <c r="E16" s="9" t="inlineStr">
        <is>
          <t>Husnul Wahyu Lestari</t>
        </is>
      </c>
      <c r="F16" s="10" t="inlineStr">
        <is>
          <t>520526050273</t>
        </is>
      </c>
      <c r="G16" s="8" t="inlineStr">
        <is>
          <t>020</t>
        </is>
      </c>
      <c r="H16" s="8" t="inlineStr">
        <is>
          <t>008</t>
        </is>
      </c>
      <c r="I16" s="8" t="inlineStr">
        <is>
          <t>001100</t>
        </is>
      </c>
      <c r="J16" s="8" t="n">
        <v>131</v>
      </c>
      <c r="K16" s="8" t="n">
        <v>35</v>
      </c>
      <c r="L16" s="8">
        <f>J16+K16</f>
        <v/>
      </c>
      <c r="M16" s="8" t="n">
        <v>0</v>
      </c>
      <c r="N16" s="8" t="n">
        <v>1</v>
      </c>
      <c r="O16" s="8">
        <f>M16+N16</f>
        <v/>
      </c>
      <c r="P16" s="8">
        <f>IF(L16=0,100,O16/L16*100)</f>
        <v/>
      </c>
      <c r="Q16" s="11" t="inlineStr"/>
    </row>
    <row r="17">
      <c r="B17" s="4" t="n">
        <v>10</v>
      </c>
      <c r="C17" s="5" t="inlineStr">
        <is>
          <t>HAERUDDIN</t>
        </is>
      </c>
      <c r="D17" s="6" t="inlineStr">
        <is>
          <t>520522030054</t>
        </is>
      </c>
      <c r="E17" s="5" t="inlineStr">
        <is>
          <t>Husnul Wahyu Lestari</t>
        </is>
      </c>
      <c r="F17" s="6" t="inlineStr">
        <is>
          <t>520526050273</t>
        </is>
      </c>
      <c r="G17" s="4" t="inlineStr">
        <is>
          <t>020</t>
        </is>
      </c>
      <c r="H17" s="4" t="inlineStr">
        <is>
          <t>008</t>
        </is>
      </c>
      <c r="I17" s="4" t="inlineStr">
        <is>
          <t>001200</t>
        </is>
      </c>
      <c r="J17" s="4" t="n">
        <v>144</v>
      </c>
      <c r="K17" s="4" t="n">
        <v>185</v>
      </c>
      <c r="L17" s="4">
        <f>J17+K17</f>
        <v/>
      </c>
      <c r="M17" s="4" t="n">
        <v>164</v>
      </c>
      <c r="N17" s="4" t="n">
        <v>180</v>
      </c>
      <c r="O17" s="4">
        <f>M17+N17</f>
        <v/>
      </c>
      <c r="P17" s="4">
        <f>IF(L17=0,100,O17/L17*100)</f>
        <v/>
      </c>
      <c r="Q17" s="7" t="inlineStr">
        <is>
          <t>PRIORITAS</t>
        </is>
      </c>
    </row>
    <row r="18">
      <c r="B18" s="4" t="n">
        <v>11</v>
      </c>
      <c r="C18" s="5" t="inlineStr">
        <is>
          <t>HAERUDDIN</t>
        </is>
      </c>
      <c r="D18" s="6" t="inlineStr">
        <is>
          <t>520522030054</t>
        </is>
      </c>
      <c r="E18" s="5" t="inlineStr">
        <is>
          <t>Husnul Wahyu Lestari</t>
        </is>
      </c>
      <c r="F18" s="6" t="inlineStr">
        <is>
          <t>520526050273</t>
        </is>
      </c>
      <c r="G18" s="4" t="inlineStr">
        <is>
          <t>020</t>
        </is>
      </c>
      <c r="H18" s="4" t="inlineStr">
        <is>
          <t>013</t>
        </is>
      </c>
      <c r="I18" s="4" t="inlineStr">
        <is>
          <t>100200</t>
        </is>
      </c>
      <c r="J18" s="4" t="n">
        <v>0</v>
      </c>
      <c r="K18" s="4" t="n">
        <v>1</v>
      </c>
      <c r="L18" s="4">
        <f>J18+K18</f>
        <v/>
      </c>
      <c r="M18" s="4" t="n">
        <v>0</v>
      </c>
      <c r="N18" s="4" t="n">
        <v>1</v>
      </c>
      <c r="O18" s="4">
        <f>M18+N18</f>
        <v/>
      </c>
      <c r="P18" s="4">
        <f>IF(L18=0,100,O18/L18*100)</f>
        <v/>
      </c>
      <c r="Q18" s="7" t="inlineStr">
        <is>
          <t>PRIORITAS</t>
        </is>
      </c>
    </row>
    <row r="19">
      <c r="B19" s="8" t="n">
        <v>12</v>
      </c>
      <c r="C19" s="9" t="inlineStr">
        <is>
          <t>HAERUDDIN</t>
        </is>
      </c>
      <c r="D19" s="10" t="inlineStr">
        <is>
          <t>520522030054</t>
        </is>
      </c>
      <c r="E19" s="9" t="inlineStr">
        <is>
          <t>IFA NURUL AISYAH</t>
        </is>
      </c>
      <c r="F19" s="10" t="inlineStr">
        <is>
          <t>520526050031</t>
        </is>
      </c>
      <c r="G19" s="8" t="inlineStr">
        <is>
          <t>020</t>
        </is>
      </c>
      <c r="H19" s="8" t="inlineStr">
        <is>
          <t>004</t>
        </is>
      </c>
      <c r="I19" s="8" t="inlineStr">
        <is>
          <t>100400</t>
        </is>
      </c>
      <c r="J19" s="8" t="n">
        <v>0</v>
      </c>
      <c r="K19" s="8" t="n">
        <v>0</v>
      </c>
      <c r="L19" s="8">
        <f>J19+K19</f>
        <v/>
      </c>
      <c r="M19" s="8" t="n">
        <v>0</v>
      </c>
      <c r="N19" s="8" t="n">
        <v>0</v>
      </c>
      <c r="O19" s="8">
        <f>M19+N19</f>
        <v/>
      </c>
      <c r="P19" s="8">
        <f>IF(L19=0,100,O19/L19*100)</f>
        <v/>
      </c>
      <c r="Q19" s="11" t="inlineStr"/>
    </row>
    <row r="20">
      <c r="B20" s="8" t="n">
        <v>13</v>
      </c>
      <c r="C20" s="9" t="inlineStr">
        <is>
          <t>HAERUDDIN</t>
        </is>
      </c>
      <c r="D20" s="10" t="inlineStr">
        <is>
          <t>520522030054</t>
        </is>
      </c>
      <c r="E20" s="9" t="inlineStr">
        <is>
          <t>IFA NURUL AISYAH</t>
        </is>
      </c>
      <c r="F20" s="10" t="inlineStr">
        <is>
          <t>520526050031</t>
        </is>
      </c>
      <c r="G20" s="8" t="inlineStr">
        <is>
          <t>020</t>
        </is>
      </c>
      <c r="H20" s="8" t="inlineStr">
        <is>
          <t>004</t>
        </is>
      </c>
      <c r="I20" s="8" t="inlineStr">
        <is>
          <t>300800</t>
        </is>
      </c>
      <c r="J20" s="8" t="n">
        <v>0</v>
      </c>
      <c r="K20" s="8" t="n">
        <v>0</v>
      </c>
      <c r="L20" s="8">
        <f>J20+K20</f>
        <v/>
      </c>
      <c r="M20" s="8" t="n">
        <v>0</v>
      </c>
      <c r="N20" s="8" t="n">
        <v>0</v>
      </c>
      <c r="O20" s="8">
        <f>M20+N20</f>
        <v/>
      </c>
      <c r="P20" s="8">
        <f>IF(L20=0,100,O20/L20*100)</f>
        <v/>
      </c>
      <c r="Q20" s="11" t="inlineStr"/>
    </row>
    <row r="21">
      <c r="B21" s="4" t="n">
        <v>14</v>
      </c>
      <c r="C21" s="5" t="inlineStr">
        <is>
          <t>HAERUDDIN</t>
        </is>
      </c>
      <c r="D21" s="6" t="inlineStr">
        <is>
          <t>520522030054</t>
        </is>
      </c>
      <c r="E21" s="5" t="inlineStr">
        <is>
          <t>IFA NURUL AISYAH</t>
        </is>
      </c>
      <c r="F21" s="6" t="inlineStr">
        <is>
          <t>520526050031</t>
        </is>
      </c>
      <c r="G21" s="4" t="inlineStr">
        <is>
          <t>020</t>
        </is>
      </c>
      <c r="H21" s="4" t="inlineStr">
        <is>
          <t>008</t>
        </is>
      </c>
      <c r="I21" s="4" t="inlineStr">
        <is>
          <t>000900</t>
        </is>
      </c>
      <c r="J21" s="4" t="n">
        <v>95</v>
      </c>
      <c r="K21" s="4" t="n">
        <v>49</v>
      </c>
      <c r="L21" s="4">
        <f>J21+K21</f>
        <v/>
      </c>
      <c r="M21" s="4" t="n">
        <v>102</v>
      </c>
      <c r="N21" s="4" t="n">
        <v>50</v>
      </c>
      <c r="O21" s="4">
        <f>M21+N21</f>
        <v/>
      </c>
      <c r="P21" s="4">
        <f>IF(L21=0,100,O21/L21*100)</f>
        <v/>
      </c>
      <c r="Q21" s="7" t="inlineStr">
        <is>
          <t>PRIORITAS</t>
        </is>
      </c>
    </row>
    <row r="22">
      <c r="B22" s="4" t="n">
        <v>15</v>
      </c>
      <c r="C22" s="5" t="inlineStr">
        <is>
          <t>HAERUDDIN</t>
        </is>
      </c>
      <c r="D22" s="6" t="inlineStr">
        <is>
          <t>520522030054</t>
        </is>
      </c>
      <c r="E22" s="5" t="inlineStr">
        <is>
          <t>IFA NURUL AISYAH</t>
        </is>
      </c>
      <c r="F22" s="6" t="inlineStr">
        <is>
          <t>520526050031</t>
        </is>
      </c>
      <c r="G22" s="4" t="inlineStr">
        <is>
          <t>020</t>
        </is>
      </c>
      <c r="H22" s="4" t="inlineStr">
        <is>
          <t>008</t>
        </is>
      </c>
      <c r="I22" s="4" t="inlineStr">
        <is>
          <t>100200</t>
        </is>
      </c>
      <c r="J22" s="4" t="n">
        <v>0</v>
      </c>
      <c r="K22" s="4" t="n">
        <v>441</v>
      </c>
      <c r="L22" s="4">
        <f>J22+K22</f>
        <v/>
      </c>
      <c r="M22" s="4" t="n">
        <v>0</v>
      </c>
      <c r="N22" s="4" t="n">
        <v>320</v>
      </c>
      <c r="O22" s="4">
        <f>M22+N22</f>
        <v/>
      </c>
      <c r="P22" s="4">
        <f>IF(L22=0,100,O22/L22*100)</f>
        <v/>
      </c>
      <c r="Q22" s="7" t="inlineStr">
        <is>
          <t>PRIORITAS</t>
        </is>
      </c>
    </row>
    <row r="23">
      <c r="B23" s="8" t="n">
        <v>16</v>
      </c>
      <c r="C23" s="9" t="inlineStr">
        <is>
          <t>HAERUDDIN</t>
        </is>
      </c>
      <c r="D23" s="10" t="inlineStr">
        <is>
          <t>520522030054</t>
        </is>
      </c>
      <c r="E23" s="9" t="inlineStr">
        <is>
          <t>IFA NURUL AISYAH</t>
        </is>
      </c>
      <c r="F23" s="10" t="inlineStr">
        <is>
          <t>520526050031</t>
        </is>
      </c>
      <c r="G23" s="8" t="inlineStr">
        <is>
          <t>020</t>
        </is>
      </c>
      <c r="H23" s="8" t="inlineStr">
        <is>
          <t>016</t>
        </is>
      </c>
      <c r="I23" s="8" t="inlineStr">
        <is>
          <t>000800</t>
        </is>
      </c>
      <c r="J23" s="8" t="n">
        <v>59</v>
      </c>
      <c r="K23" s="8" t="n">
        <v>13</v>
      </c>
      <c r="L23" s="8">
        <f>J23+K23</f>
        <v/>
      </c>
      <c r="M23" s="8" t="n">
        <v>22</v>
      </c>
      <c r="N23" s="8" t="n">
        <v>4</v>
      </c>
      <c r="O23" s="8">
        <f>M23+N23</f>
        <v/>
      </c>
      <c r="P23" s="8">
        <f>IF(L23=0,100,O23/L23*100)</f>
        <v/>
      </c>
      <c r="Q23" s="11" t="inlineStr"/>
    </row>
    <row r="24">
      <c r="B24" s="8" t="n">
        <v>17</v>
      </c>
      <c r="C24" s="9" t="inlineStr">
        <is>
          <t>HAERUDDIN</t>
        </is>
      </c>
      <c r="D24" s="10" t="inlineStr">
        <is>
          <t>520522030054</t>
        </is>
      </c>
      <c r="E24" s="9" t="inlineStr">
        <is>
          <t>Moh Ma'ruf</t>
        </is>
      </c>
      <c r="F24" s="10" t="inlineStr">
        <is>
          <t>520525110198</t>
        </is>
      </c>
      <c r="G24" s="8" t="inlineStr">
        <is>
          <t>020</t>
        </is>
      </c>
      <c r="H24" s="8" t="inlineStr">
        <is>
          <t>016</t>
        </is>
      </c>
      <c r="I24" s="8" t="inlineStr">
        <is>
          <t>000700</t>
        </is>
      </c>
      <c r="J24" s="8" t="n">
        <v>54</v>
      </c>
      <c r="K24" s="8" t="n">
        <v>10</v>
      </c>
      <c r="L24" s="8">
        <f>J24+K24</f>
        <v/>
      </c>
      <c r="M24" s="8" t="n">
        <v>7</v>
      </c>
      <c r="N24" s="8" t="n">
        <v>3</v>
      </c>
      <c r="O24" s="8">
        <f>M24+N24</f>
        <v/>
      </c>
      <c r="P24" s="8">
        <f>IF(L24=0,100,O24/L24*100)</f>
        <v/>
      </c>
      <c r="Q24" s="11" t="inlineStr"/>
    </row>
    <row r="25">
      <c r="B25" s="8" t="n">
        <v>18</v>
      </c>
      <c r="C25" s="9" t="inlineStr">
        <is>
          <t>HAERUDDIN</t>
        </is>
      </c>
      <c r="D25" s="10" t="inlineStr">
        <is>
          <t>520522030054</t>
        </is>
      </c>
      <c r="E25" s="9" t="inlineStr">
        <is>
          <t>Moh Ma'ruf</t>
        </is>
      </c>
      <c r="F25" s="10" t="inlineStr">
        <is>
          <t>520525110198</t>
        </is>
      </c>
      <c r="G25" s="8" t="inlineStr">
        <is>
          <t>020</t>
        </is>
      </c>
      <c r="H25" s="8" t="inlineStr">
        <is>
          <t>016</t>
        </is>
      </c>
      <c r="I25" s="8" t="inlineStr">
        <is>
          <t>000900</t>
        </is>
      </c>
      <c r="J25" s="8" t="n">
        <v>27</v>
      </c>
      <c r="K25" s="8" t="n">
        <v>23</v>
      </c>
      <c r="L25" s="8">
        <f>J25+K25</f>
        <v/>
      </c>
      <c r="M25" s="8" t="n">
        <v>16</v>
      </c>
      <c r="N25" s="8" t="n">
        <v>19</v>
      </c>
      <c r="O25" s="8">
        <f>M25+N25</f>
        <v/>
      </c>
      <c r="P25" s="8">
        <f>IF(L25=0,100,O25/L25*100)</f>
        <v/>
      </c>
      <c r="Q25" s="11" t="inlineStr"/>
    </row>
    <row r="26">
      <c r="B26" s="4" t="n">
        <v>19</v>
      </c>
      <c r="C26" s="5" t="inlineStr">
        <is>
          <t>HAERUDDIN</t>
        </is>
      </c>
      <c r="D26" s="6" t="inlineStr">
        <is>
          <t>520522030054</t>
        </is>
      </c>
      <c r="E26" s="5" t="inlineStr">
        <is>
          <t>Moh Ma'ruf</t>
        </is>
      </c>
      <c r="F26" s="6" t="inlineStr">
        <is>
          <t>520525110198</t>
        </is>
      </c>
      <c r="G26" s="4" t="inlineStr">
        <is>
          <t>020</t>
        </is>
      </c>
      <c r="H26" s="4" t="inlineStr">
        <is>
          <t>016</t>
        </is>
      </c>
      <c r="I26" s="4" t="inlineStr">
        <is>
          <t>001000</t>
        </is>
      </c>
      <c r="J26" s="4" t="n">
        <v>54</v>
      </c>
      <c r="K26" s="4" t="n">
        <v>13</v>
      </c>
      <c r="L26" s="4">
        <f>J26+K26</f>
        <v/>
      </c>
      <c r="M26" s="4" t="n">
        <v>81</v>
      </c>
      <c r="N26" s="4" t="n">
        <v>12</v>
      </c>
      <c r="O26" s="4">
        <f>M26+N26</f>
        <v/>
      </c>
      <c r="P26" s="4">
        <f>IF(L26=0,100,O26/L26*100)</f>
        <v/>
      </c>
      <c r="Q26" s="7" t="inlineStr">
        <is>
          <t>PRIORITAS</t>
        </is>
      </c>
    </row>
    <row r="27">
      <c r="B27" s="4" t="n">
        <v>20</v>
      </c>
      <c r="C27" s="5" t="inlineStr">
        <is>
          <t>HAERUDDIN</t>
        </is>
      </c>
      <c r="D27" s="6" t="inlineStr">
        <is>
          <t>520522030054</t>
        </is>
      </c>
      <c r="E27" s="5" t="inlineStr">
        <is>
          <t>Moh Ma'ruf</t>
        </is>
      </c>
      <c r="F27" s="6" t="inlineStr">
        <is>
          <t>520525110198</t>
        </is>
      </c>
      <c r="G27" s="4" t="inlineStr">
        <is>
          <t>020</t>
        </is>
      </c>
      <c r="H27" s="4" t="inlineStr">
        <is>
          <t>016</t>
        </is>
      </c>
      <c r="I27" s="4" t="inlineStr">
        <is>
          <t>001100</t>
        </is>
      </c>
      <c r="J27" s="4" t="n">
        <v>65</v>
      </c>
      <c r="K27" s="4" t="n">
        <v>22</v>
      </c>
      <c r="L27" s="4">
        <f>J27+K27</f>
        <v/>
      </c>
      <c r="M27" s="4" t="n">
        <v>73</v>
      </c>
      <c r="N27" s="4" t="n">
        <v>22</v>
      </c>
      <c r="O27" s="4">
        <f>M27+N27</f>
        <v/>
      </c>
      <c r="P27" s="4">
        <f>IF(L27=0,100,O27/L27*100)</f>
        <v/>
      </c>
      <c r="Q27" s="7" t="inlineStr">
        <is>
          <t>PRIORITAS</t>
        </is>
      </c>
    </row>
    <row r="28">
      <c r="B28" s="4" t="n">
        <v>21</v>
      </c>
      <c r="C28" s="5" t="inlineStr">
        <is>
          <t>HAERUDDIN</t>
        </is>
      </c>
      <c r="D28" s="6" t="inlineStr">
        <is>
          <t>520522030054</t>
        </is>
      </c>
      <c r="E28" s="5" t="inlineStr">
        <is>
          <t>Moh Ma'ruf</t>
        </is>
      </c>
      <c r="F28" s="6" t="inlineStr">
        <is>
          <t>520525110198</t>
        </is>
      </c>
      <c r="G28" s="4" t="inlineStr">
        <is>
          <t>020</t>
        </is>
      </c>
      <c r="H28" s="4" t="inlineStr">
        <is>
          <t>016</t>
        </is>
      </c>
      <c r="I28" s="4" t="inlineStr">
        <is>
          <t>001200</t>
        </is>
      </c>
      <c r="J28" s="4" t="n">
        <v>39</v>
      </c>
      <c r="K28" s="4" t="n">
        <v>13</v>
      </c>
      <c r="L28" s="4">
        <f>J28+K28</f>
        <v/>
      </c>
      <c r="M28" s="4" t="n">
        <v>44</v>
      </c>
      <c r="N28" s="4" t="n">
        <v>14</v>
      </c>
      <c r="O28" s="4">
        <f>M28+N28</f>
        <v/>
      </c>
      <c r="P28" s="4">
        <f>IF(L28=0,100,O28/L28*100)</f>
        <v/>
      </c>
      <c r="Q28" s="7" t="inlineStr">
        <is>
          <t>PRIORITAS</t>
        </is>
      </c>
    </row>
    <row r="29">
      <c r="B29" s="4" t="n">
        <v>22</v>
      </c>
      <c r="C29" s="5" t="inlineStr">
        <is>
          <t>HAERUDDIN</t>
        </is>
      </c>
      <c r="D29" s="6" t="inlineStr">
        <is>
          <t>520522030054</t>
        </is>
      </c>
      <c r="E29" s="5" t="inlineStr">
        <is>
          <t>Moh Ma'ruf</t>
        </is>
      </c>
      <c r="F29" s="6" t="inlineStr">
        <is>
          <t>520525110198</t>
        </is>
      </c>
      <c r="G29" s="4" t="inlineStr">
        <is>
          <t>020</t>
        </is>
      </c>
      <c r="H29" s="4" t="inlineStr">
        <is>
          <t>016</t>
        </is>
      </c>
      <c r="I29" s="4" t="inlineStr">
        <is>
          <t>001300</t>
        </is>
      </c>
      <c r="J29" s="4" t="n">
        <v>59</v>
      </c>
      <c r="K29" s="4" t="n">
        <v>22</v>
      </c>
      <c r="L29" s="4">
        <f>J29+K29</f>
        <v/>
      </c>
      <c r="M29" s="4" t="n">
        <v>64</v>
      </c>
      <c r="N29" s="4" t="n">
        <v>25</v>
      </c>
      <c r="O29" s="4">
        <f>M29+N29</f>
        <v/>
      </c>
      <c r="P29" s="4">
        <f>IF(L29=0,100,O29/L29*100)</f>
        <v/>
      </c>
      <c r="Q29" s="7" t="inlineStr">
        <is>
          <t>PRIORITAS</t>
        </is>
      </c>
    </row>
    <row r="30">
      <c r="B30" s="8" t="n">
        <v>23</v>
      </c>
      <c r="C30" s="9" t="inlineStr">
        <is>
          <t>HAERUDDIN</t>
        </is>
      </c>
      <c r="D30" s="10" t="inlineStr">
        <is>
          <t>520522030054</t>
        </is>
      </c>
      <c r="E30" s="9" t="inlineStr">
        <is>
          <t>Moh Ma'ruf</t>
        </is>
      </c>
      <c r="F30" s="10" t="inlineStr">
        <is>
          <t>520525110198</t>
        </is>
      </c>
      <c r="G30" s="8" t="inlineStr">
        <is>
          <t>020</t>
        </is>
      </c>
      <c r="H30" s="8" t="inlineStr">
        <is>
          <t>016</t>
        </is>
      </c>
      <c r="I30" s="8" t="inlineStr">
        <is>
          <t>001400</t>
        </is>
      </c>
      <c r="J30" s="8" t="n">
        <v>23</v>
      </c>
      <c r="K30" s="8" t="n">
        <v>17</v>
      </c>
      <c r="L30" s="8">
        <f>J30+K30</f>
        <v/>
      </c>
      <c r="M30" s="8" t="n">
        <v>0</v>
      </c>
      <c r="N30" s="8" t="n">
        <v>0</v>
      </c>
      <c r="O30" s="8">
        <f>M30+N30</f>
        <v/>
      </c>
      <c r="P30" s="8">
        <f>IF(L30=0,100,O30/L30*100)</f>
        <v/>
      </c>
      <c r="Q30" s="11" t="inlineStr"/>
    </row>
    <row r="31">
      <c r="B31" s="8" t="n">
        <v>24</v>
      </c>
      <c r="C31" s="9" t="inlineStr">
        <is>
          <t>HAERUDDIN</t>
        </is>
      </c>
      <c r="D31" s="10" t="inlineStr">
        <is>
          <t>520522030054</t>
        </is>
      </c>
      <c r="E31" s="9" t="inlineStr">
        <is>
          <t>Moh Ma'ruf</t>
        </is>
      </c>
      <c r="F31" s="10" t="inlineStr">
        <is>
          <t>520525110198</t>
        </is>
      </c>
      <c r="G31" s="8" t="inlineStr">
        <is>
          <t>020</t>
        </is>
      </c>
      <c r="H31" s="8" t="inlineStr">
        <is>
          <t>016</t>
        </is>
      </c>
      <c r="I31" s="8" t="inlineStr">
        <is>
          <t>001500</t>
        </is>
      </c>
      <c r="J31" s="8" t="n">
        <v>30</v>
      </c>
      <c r="K31" s="8" t="n">
        <v>14</v>
      </c>
      <c r="L31" s="8">
        <f>J31+K31</f>
        <v/>
      </c>
      <c r="M31" s="8" t="n">
        <v>0</v>
      </c>
      <c r="N31" s="8" t="n">
        <v>0</v>
      </c>
      <c r="O31" s="8">
        <f>M31+N31</f>
        <v/>
      </c>
      <c r="P31" s="8">
        <f>IF(L31=0,100,O31/L31*100)</f>
        <v/>
      </c>
      <c r="Q31" s="11" t="inlineStr"/>
    </row>
    <row r="32">
      <c r="B32" s="8" t="n">
        <v>25</v>
      </c>
      <c r="C32" s="9" t="inlineStr">
        <is>
          <t>HAERUDDIN</t>
        </is>
      </c>
      <c r="D32" s="10" t="inlineStr">
        <is>
          <t>520522030054</t>
        </is>
      </c>
      <c r="E32" s="9" t="inlineStr">
        <is>
          <t>Moh Ma'ruf</t>
        </is>
      </c>
      <c r="F32" s="10" t="inlineStr">
        <is>
          <t>520525110198</t>
        </is>
      </c>
      <c r="G32" s="8" t="inlineStr">
        <is>
          <t>020</t>
        </is>
      </c>
      <c r="H32" s="8" t="inlineStr">
        <is>
          <t>016</t>
        </is>
      </c>
      <c r="I32" s="8" t="inlineStr">
        <is>
          <t>001600</t>
        </is>
      </c>
      <c r="J32" s="8" t="n">
        <v>37</v>
      </c>
      <c r="K32" s="8" t="n">
        <v>26</v>
      </c>
      <c r="L32" s="8">
        <f>J32+K32</f>
        <v/>
      </c>
      <c r="M32" s="8" t="n">
        <v>0</v>
      </c>
      <c r="N32" s="8" t="n">
        <v>0</v>
      </c>
      <c r="O32" s="8">
        <f>M32+N32</f>
        <v/>
      </c>
      <c r="P32" s="8">
        <f>IF(L32=0,100,O32/L32*100)</f>
        <v/>
      </c>
      <c r="Q32" s="11" t="inlineStr"/>
    </row>
    <row r="33">
      <c r="B33" s="8" t="n">
        <v>26</v>
      </c>
      <c r="C33" s="9" t="inlineStr">
        <is>
          <t>HAERUDDIN</t>
        </is>
      </c>
      <c r="D33" s="10" t="inlineStr">
        <is>
          <t>520522030054</t>
        </is>
      </c>
      <c r="E33" s="9" t="inlineStr">
        <is>
          <t>Moh Ma'ruf</t>
        </is>
      </c>
      <c r="F33" s="10" t="inlineStr">
        <is>
          <t>520525110198</t>
        </is>
      </c>
      <c r="G33" s="8" t="inlineStr">
        <is>
          <t>020</t>
        </is>
      </c>
      <c r="H33" s="8" t="inlineStr">
        <is>
          <t>016</t>
        </is>
      </c>
      <c r="I33" s="8" t="inlineStr">
        <is>
          <t>100200</t>
        </is>
      </c>
      <c r="J33" s="8" t="n">
        <v>17</v>
      </c>
      <c r="K33" s="8" t="n">
        <v>30</v>
      </c>
      <c r="L33" s="8">
        <f>J33+K33</f>
        <v/>
      </c>
      <c r="M33" s="8" t="n">
        <v>0</v>
      </c>
      <c r="N33" s="8" t="n">
        <v>0</v>
      </c>
      <c r="O33" s="8">
        <f>M33+N33</f>
        <v/>
      </c>
      <c r="P33" s="8">
        <f>IF(L33=0,100,O33/L33*100)</f>
        <v/>
      </c>
      <c r="Q33" s="11" t="inlineStr"/>
    </row>
    <row r="34">
      <c r="B34" s="4" t="n">
        <v>27</v>
      </c>
      <c r="C34" s="5" t="inlineStr">
        <is>
          <t>HAERUDDIN</t>
        </is>
      </c>
      <c r="D34" s="6" t="inlineStr">
        <is>
          <t>520522030054</t>
        </is>
      </c>
      <c r="E34" s="5" t="inlineStr">
        <is>
          <t>Nurlailah</t>
        </is>
      </c>
      <c r="F34" s="6" t="inlineStr">
        <is>
          <t>520525110108</t>
        </is>
      </c>
      <c r="G34" s="4" t="inlineStr">
        <is>
          <t>020</t>
        </is>
      </c>
      <c r="H34" s="4" t="inlineStr">
        <is>
          <t>010</t>
        </is>
      </c>
      <c r="I34" s="4" t="inlineStr">
        <is>
          <t>000600</t>
        </is>
      </c>
      <c r="J34" s="4" t="n">
        <v>106</v>
      </c>
      <c r="K34" s="4" t="n">
        <v>88</v>
      </c>
      <c r="L34" s="4">
        <f>J34+K34</f>
        <v/>
      </c>
      <c r="M34" s="4" t="n">
        <v>115</v>
      </c>
      <c r="N34" s="4" t="n">
        <v>87</v>
      </c>
      <c r="O34" s="4">
        <f>M34+N34</f>
        <v/>
      </c>
      <c r="P34" s="4">
        <f>IF(L34=0,100,O34/L34*100)</f>
        <v/>
      </c>
      <c r="Q34" s="7" t="inlineStr">
        <is>
          <t>PRIORITAS</t>
        </is>
      </c>
    </row>
    <row r="35">
      <c r="B35" s="8" t="n">
        <v>28</v>
      </c>
      <c r="C35" s="9" t="inlineStr">
        <is>
          <t>HAERUDDIN</t>
        </is>
      </c>
      <c r="D35" s="10" t="inlineStr">
        <is>
          <t>520522030054</t>
        </is>
      </c>
      <c r="E35" s="9" t="inlineStr">
        <is>
          <t>Nurlailah</t>
        </is>
      </c>
      <c r="F35" s="10" t="inlineStr">
        <is>
          <t>520525110108</t>
        </is>
      </c>
      <c r="G35" s="8" t="inlineStr">
        <is>
          <t>020</t>
        </is>
      </c>
      <c r="H35" s="8" t="inlineStr">
        <is>
          <t>010</t>
        </is>
      </c>
      <c r="I35" s="8" t="inlineStr">
        <is>
          <t>000700</t>
        </is>
      </c>
      <c r="J35" s="8" t="n">
        <v>74</v>
      </c>
      <c r="K35" s="8" t="n">
        <v>31</v>
      </c>
      <c r="L35" s="8">
        <f>J35+K35</f>
        <v/>
      </c>
      <c r="M35" s="8" t="n">
        <v>1</v>
      </c>
      <c r="N35" s="8" t="n">
        <v>0</v>
      </c>
      <c r="O35" s="8">
        <f>M35+N35</f>
        <v/>
      </c>
      <c r="P35" s="8">
        <f>IF(L35=0,100,O35/L35*100)</f>
        <v/>
      </c>
      <c r="Q35" s="11" t="inlineStr"/>
    </row>
    <row r="36">
      <c r="B36" s="8" t="n">
        <v>29</v>
      </c>
      <c r="C36" s="9" t="inlineStr">
        <is>
          <t>HAERUDDIN</t>
        </is>
      </c>
      <c r="D36" s="10" t="inlineStr">
        <is>
          <t>520522030054</t>
        </is>
      </c>
      <c r="E36" s="9" t="inlineStr">
        <is>
          <t>Nurlailah</t>
        </is>
      </c>
      <c r="F36" s="10" t="inlineStr">
        <is>
          <t>520525110108</t>
        </is>
      </c>
      <c r="G36" s="8" t="inlineStr">
        <is>
          <t>020</t>
        </is>
      </c>
      <c r="H36" s="8" t="inlineStr">
        <is>
          <t>010</t>
        </is>
      </c>
      <c r="I36" s="8" t="inlineStr">
        <is>
          <t>000800</t>
        </is>
      </c>
      <c r="J36" s="8" t="n">
        <v>126</v>
      </c>
      <c r="K36" s="8" t="n">
        <v>49</v>
      </c>
      <c r="L36" s="8">
        <f>J36+K36</f>
        <v/>
      </c>
      <c r="M36" s="8" t="n">
        <v>3</v>
      </c>
      <c r="N36" s="8" t="n">
        <v>0</v>
      </c>
      <c r="O36" s="8">
        <f>M36+N36</f>
        <v/>
      </c>
      <c r="P36" s="8">
        <f>IF(L36=0,100,O36/L36*100)</f>
        <v/>
      </c>
      <c r="Q36" s="11" t="inlineStr"/>
    </row>
    <row r="37">
      <c r="B37" s="4" t="n">
        <v>30</v>
      </c>
      <c r="C37" s="5" t="inlineStr">
        <is>
          <t>HAERUDDIN</t>
        </is>
      </c>
      <c r="D37" s="6" t="inlineStr">
        <is>
          <t>520522030054</t>
        </is>
      </c>
      <c r="E37" s="5" t="inlineStr">
        <is>
          <t>Nurlailah</t>
        </is>
      </c>
      <c r="F37" s="6" t="inlineStr">
        <is>
          <t>520525110108</t>
        </is>
      </c>
      <c r="G37" s="4" t="inlineStr">
        <is>
          <t>020</t>
        </is>
      </c>
      <c r="H37" s="4" t="inlineStr">
        <is>
          <t>010</t>
        </is>
      </c>
      <c r="I37" s="4" t="inlineStr">
        <is>
          <t>000900</t>
        </is>
      </c>
      <c r="J37" s="4" t="n">
        <v>96</v>
      </c>
      <c r="K37" s="4" t="n">
        <v>36</v>
      </c>
      <c r="L37" s="4">
        <f>J37+K37</f>
        <v/>
      </c>
      <c r="M37" s="4" t="n">
        <v>107</v>
      </c>
      <c r="N37" s="4" t="n">
        <v>39</v>
      </c>
      <c r="O37" s="4">
        <f>M37+N37</f>
        <v/>
      </c>
      <c r="P37" s="4">
        <f>IF(L37=0,100,O37/L37*100)</f>
        <v/>
      </c>
      <c r="Q37" s="7" t="inlineStr">
        <is>
          <t>PRIORITAS</t>
        </is>
      </c>
    </row>
    <row r="38">
      <c r="B38" s="8" t="n">
        <v>31</v>
      </c>
      <c r="C38" s="9" t="inlineStr">
        <is>
          <t>HAERUDDIN</t>
        </is>
      </c>
      <c r="D38" s="10" t="inlineStr">
        <is>
          <t>520522030054</t>
        </is>
      </c>
      <c r="E38" s="9" t="inlineStr">
        <is>
          <t>Rachmad Soebari</t>
        </is>
      </c>
      <c r="F38" s="10" t="inlineStr">
        <is>
          <t>520522030024</t>
        </is>
      </c>
      <c r="G38" s="8" t="inlineStr">
        <is>
          <t>020</t>
        </is>
      </c>
      <c r="H38" s="8" t="inlineStr">
        <is>
          <t>008</t>
        </is>
      </c>
      <c r="I38" s="8" t="inlineStr">
        <is>
          <t>000100</t>
        </is>
      </c>
      <c r="J38" s="8" t="n">
        <v>100</v>
      </c>
      <c r="K38" s="8" t="n">
        <v>49</v>
      </c>
      <c r="L38" s="8">
        <f>J38+K38</f>
        <v/>
      </c>
      <c r="M38" s="8" t="n">
        <v>0</v>
      </c>
      <c r="N38" s="8" t="n">
        <v>3</v>
      </c>
      <c r="O38" s="8">
        <f>M38+N38</f>
        <v/>
      </c>
      <c r="P38" s="8">
        <f>IF(L38=0,100,O38/L38*100)</f>
        <v/>
      </c>
      <c r="Q38" s="11" t="inlineStr"/>
    </row>
    <row r="39">
      <c r="B39" s="4" t="n">
        <v>32</v>
      </c>
      <c r="C39" s="5" t="inlineStr">
        <is>
          <t>HAERUDDIN</t>
        </is>
      </c>
      <c r="D39" s="6" t="inlineStr">
        <is>
          <t>520522030054</t>
        </is>
      </c>
      <c r="E39" s="5" t="inlineStr">
        <is>
          <t>Rachmad Soebari</t>
        </is>
      </c>
      <c r="F39" s="6" t="inlineStr">
        <is>
          <t>520522030024</t>
        </is>
      </c>
      <c r="G39" s="4" t="inlineStr">
        <is>
          <t>020</t>
        </is>
      </c>
      <c r="H39" s="4" t="inlineStr">
        <is>
          <t>008</t>
        </is>
      </c>
      <c r="I39" s="4" t="inlineStr">
        <is>
          <t>001300</t>
        </is>
      </c>
      <c r="J39" s="4" t="n">
        <v>64</v>
      </c>
      <c r="K39" s="4" t="n">
        <v>38</v>
      </c>
      <c r="L39" s="4">
        <f>J39+K39</f>
        <v/>
      </c>
      <c r="M39" s="4" t="n">
        <v>64</v>
      </c>
      <c r="N39" s="4" t="n">
        <v>30</v>
      </c>
      <c r="O39" s="4">
        <f>M39+N39</f>
        <v/>
      </c>
      <c r="P39" s="4">
        <f>IF(L39=0,100,O39/L39*100)</f>
        <v/>
      </c>
      <c r="Q39" s="7" t="inlineStr">
        <is>
          <t>PRIORITAS</t>
        </is>
      </c>
    </row>
    <row r="40">
      <c r="B40" s="4" t="n">
        <v>33</v>
      </c>
      <c r="C40" s="5" t="inlineStr">
        <is>
          <t>HAERUDDIN</t>
        </is>
      </c>
      <c r="D40" s="6" t="inlineStr">
        <is>
          <t>520522030054</t>
        </is>
      </c>
      <c r="E40" s="5" t="inlineStr">
        <is>
          <t>Rachmad Soebari</t>
        </is>
      </c>
      <c r="F40" s="6" t="inlineStr">
        <is>
          <t>520522030024</t>
        </is>
      </c>
      <c r="G40" s="4" t="inlineStr">
        <is>
          <t>020</t>
        </is>
      </c>
      <c r="H40" s="4" t="inlineStr">
        <is>
          <t>008</t>
        </is>
      </c>
      <c r="I40" s="4" t="inlineStr">
        <is>
          <t>001500</t>
        </is>
      </c>
      <c r="J40" s="4" t="n">
        <v>156</v>
      </c>
      <c r="K40" s="4" t="n">
        <v>90</v>
      </c>
      <c r="L40" s="4">
        <f>J40+K40</f>
        <v/>
      </c>
      <c r="M40" s="4" t="n">
        <v>161</v>
      </c>
      <c r="N40" s="4" t="n">
        <v>68</v>
      </c>
      <c r="O40" s="4">
        <f>M40+N40</f>
        <v/>
      </c>
      <c r="P40" s="4">
        <f>IF(L40=0,100,O40/L40*100)</f>
        <v/>
      </c>
      <c r="Q40" s="7" t="inlineStr">
        <is>
          <t>PRIORITAS</t>
        </is>
      </c>
    </row>
    <row r="41">
      <c r="B41" s="8" t="n">
        <v>34</v>
      </c>
      <c r="C41" s="9" t="inlineStr">
        <is>
          <t>HAERUDDIN</t>
        </is>
      </c>
      <c r="D41" s="10" t="inlineStr">
        <is>
          <t>520522030054</t>
        </is>
      </c>
      <c r="E41" s="9" t="inlineStr">
        <is>
          <t>Rachmad Soebari</t>
        </is>
      </c>
      <c r="F41" s="10" t="inlineStr">
        <is>
          <t>520522030024</t>
        </is>
      </c>
      <c r="G41" s="8" t="inlineStr">
        <is>
          <t>020</t>
        </is>
      </c>
      <c r="H41" s="8" t="inlineStr">
        <is>
          <t>008</t>
        </is>
      </c>
      <c r="I41" s="8" t="inlineStr">
        <is>
          <t>001600</t>
        </is>
      </c>
      <c r="J41" s="8" t="n">
        <v>53</v>
      </c>
      <c r="K41" s="8" t="n">
        <v>59</v>
      </c>
      <c r="L41" s="8">
        <f>J41+K41</f>
        <v/>
      </c>
      <c r="M41" s="8" t="n">
        <v>0</v>
      </c>
      <c r="N41" s="8" t="n">
        <v>0</v>
      </c>
      <c r="O41" s="8">
        <f>M41+N41</f>
        <v/>
      </c>
      <c r="P41" s="8">
        <f>IF(L41=0,100,O41/L41*100)</f>
        <v/>
      </c>
      <c r="Q41" s="11" t="inlineStr"/>
    </row>
    <row r="42">
      <c r="B42" s="8" t="n">
        <v>35</v>
      </c>
      <c r="C42" s="9" t="inlineStr">
        <is>
          <t>HAERUDDIN</t>
        </is>
      </c>
      <c r="D42" s="10" t="inlineStr">
        <is>
          <t>520522030054</t>
        </is>
      </c>
      <c r="E42" s="9" t="inlineStr">
        <is>
          <t>Sri Handayani</t>
        </is>
      </c>
      <c r="F42" s="10" t="inlineStr">
        <is>
          <t>520526050218</t>
        </is>
      </c>
      <c r="G42" s="8" t="inlineStr">
        <is>
          <t>020</t>
        </is>
      </c>
      <c r="H42" s="8" t="inlineStr">
        <is>
          <t>002</t>
        </is>
      </c>
      <c r="I42" s="8" t="inlineStr">
        <is>
          <t>001500</t>
        </is>
      </c>
      <c r="J42" s="8" t="n">
        <v>122</v>
      </c>
      <c r="K42" s="8" t="n">
        <v>80</v>
      </c>
      <c r="L42" s="8">
        <f>J42+K42</f>
        <v/>
      </c>
      <c r="M42" s="8" t="n">
        <v>7</v>
      </c>
      <c r="N42" s="8" t="n">
        <v>9</v>
      </c>
      <c r="O42" s="8">
        <f>M42+N42</f>
        <v/>
      </c>
      <c r="P42" s="8">
        <f>IF(L42=0,100,O42/L42*100)</f>
        <v/>
      </c>
      <c r="Q42" s="11" t="inlineStr"/>
    </row>
    <row r="43">
      <c r="B43" s="8" t="n">
        <v>36</v>
      </c>
      <c r="C43" s="9" t="inlineStr">
        <is>
          <t>HAERUDDIN</t>
        </is>
      </c>
      <c r="D43" s="10" t="inlineStr">
        <is>
          <t>520522030054</t>
        </is>
      </c>
      <c r="E43" s="9" t="inlineStr">
        <is>
          <t>Sri Handayani</t>
        </is>
      </c>
      <c r="F43" s="10" t="inlineStr">
        <is>
          <t>520526050218</t>
        </is>
      </c>
      <c r="G43" s="8" t="inlineStr">
        <is>
          <t>020</t>
        </is>
      </c>
      <c r="H43" s="8" t="inlineStr">
        <is>
          <t>008</t>
        </is>
      </c>
      <c r="I43" s="8" t="inlineStr">
        <is>
          <t>000300</t>
        </is>
      </c>
      <c r="J43" s="8" t="n">
        <v>62</v>
      </c>
      <c r="K43" s="8" t="n">
        <v>40</v>
      </c>
      <c r="L43" s="8">
        <f>J43+K43</f>
        <v/>
      </c>
      <c r="M43" s="8" t="n">
        <v>54</v>
      </c>
      <c r="N43" s="8" t="n">
        <v>19</v>
      </c>
      <c r="O43" s="8">
        <f>M43+N43</f>
        <v/>
      </c>
      <c r="P43" s="8">
        <f>IF(L43=0,100,O43/L43*100)</f>
        <v/>
      </c>
      <c r="Q43" s="11" t="inlineStr"/>
    </row>
    <row r="44">
      <c r="B44" s="4" t="n">
        <v>37</v>
      </c>
      <c r="C44" s="5" t="inlineStr">
        <is>
          <t>HAERUDDIN</t>
        </is>
      </c>
      <c r="D44" s="6" t="inlineStr">
        <is>
          <t>520522030054</t>
        </is>
      </c>
      <c r="E44" s="5" t="inlineStr">
        <is>
          <t>Sri Handayani</t>
        </is>
      </c>
      <c r="F44" s="6" t="inlineStr">
        <is>
          <t>520526050218</t>
        </is>
      </c>
      <c r="G44" s="4" t="inlineStr">
        <is>
          <t>020</t>
        </is>
      </c>
      <c r="H44" s="4" t="inlineStr">
        <is>
          <t>008</t>
        </is>
      </c>
      <c r="I44" s="4" t="inlineStr">
        <is>
          <t>000400</t>
        </is>
      </c>
      <c r="J44" s="4" t="n">
        <v>41</v>
      </c>
      <c r="K44" s="4" t="n">
        <v>25</v>
      </c>
      <c r="L44" s="4">
        <f>J44+K44</f>
        <v/>
      </c>
      <c r="M44" s="4" t="n">
        <v>50</v>
      </c>
      <c r="N44" s="4" t="n">
        <v>19</v>
      </c>
      <c r="O44" s="4">
        <f>M44+N44</f>
        <v/>
      </c>
      <c r="P44" s="4">
        <f>IF(L44=0,100,O44/L44*100)</f>
        <v/>
      </c>
      <c r="Q44" s="7" t="inlineStr">
        <is>
          <t>PRIORITAS</t>
        </is>
      </c>
    </row>
    <row r="45">
      <c r="B45" s="4" t="n">
        <v>38</v>
      </c>
      <c r="C45" s="5" t="inlineStr">
        <is>
          <t>HAERUDDIN</t>
        </is>
      </c>
      <c r="D45" s="6" t="inlineStr">
        <is>
          <t>520522030054</t>
        </is>
      </c>
      <c r="E45" s="5" t="inlineStr">
        <is>
          <t>Sri Handayani</t>
        </is>
      </c>
      <c r="F45" s="6" t="inlineStr">
        <is>
          <t>520526050218</t>
        </is>
      </c>
      <c r="G45" s="4" t="inlineStr">
        <is>
          <t>020</t>
        </is>
      </c>
      <c r="H45" s="4" t="inlineStr">
        <is>
          <t>008</t>
        </is>
      </c>
      <c r="I45" s="4" t="inlineStr">
        <is>
          <t>000800</t>
        </is>
      </c>
      <c r="J45" s="4" t="n">
        <v>139</v>
      </c>
      <c r="K45" s="4" t="n">
        <v>81</v>
      </c>
      <c r="L45" s="4">
        <f>J45+K45</f>
        <v/>
      </c>
      <c r="M45" s="4" t="n">
        <v>161</v>
      </c>
      <c r="N45" s="4" t="n">
        <v>77</v>
      </c>
      <c r="O45" s="4">
        <f>M45+N45</f>
        <v/>
      </c>
      <c r="P45" s="4">
        <f>IF(L45=0,100,O45/L45*100)</f>
        <v/>
      </c>
      <c r="Q45" s="7" t="inlineStr">
        <is>
          <t>PRIORITAS</t>
        </is>
      </c>
    </row>
    <row r="46">
      <c r="B46" s="4" t="n">
        <v>39</v>
      </c>
      <c r="C46" s="5" t="inlineStr">
        <is>
          <t>HAERUDDIN</t>
        </is>
      </c>
      <c r="D46" s="6" t="inlineStr">
        <is>
          <t>520522030054</t>
        </is>
      </c>
      <c r="E46" s="5" t="inlineStr">
        <is>
          <t>Triana Amalia ND</t>
        </is>
      </c>
      <c r="F46" s="6" t="inlineStr">
        <is>
          <t>520526050243</t>
        </is>
      </c>
      <c r="G46" s="4" t="inlineStr">
        <is>
          <t>020</t>
        </is>
      </c>
      <c r="H46" s="4" t="inlineStr">
        <is>
          <t>002</t>
        </is>
      </c>
      <c r="I46" s="4" t="inlineStr">
        <is>
          <t>001100</t>
        </is>
      </c>
      <c r="J46" s="4" t="n">
        <v>65</v>
      </c>
      <c r="K46" s="4" t="n">
        <v>21</v>
      </c>
      <c r="L46" s="4">
        <f>J46+K46</f>
        <v/>
      </c>
      <c r="M46" s="4" t="n">
        <v>76</v>
      </c>
      <c r="N46" s="4" t="n">
        <v>20</v>
      </c>
      <c r="O46" s="4">
        <f>M46+N46</f>
        <v/>
      </c>
      <c r="P46" s="4">
        <f>IF(L46=0,100,O46/L46*100)</f>
        <v/>
      </c>
      <c r="Q46" s="7" t="inlineStr">
        <is>
          <t>PRIORITAS</t>
        </is>
      </c>
    </row>
    <row r="47">
      <c r="B47" s="4" t="n">
        <v>40</v>
      </c>
      <c r="C47" s="5" t="inlineStr">
        <is>
          <t>HAERUDDIN</t>
        </is>
      </c>
      <c r="D47" s="6" t="inlineStr">
        <is>
          <t>520522030054</t>
        </is>
      </c>
      <c r="E47" s="5" t="inlineStr">
        <is>
          <t>Triana Amalia ND</t>
        </is>
      </c>
      <c r="F47" s="6" t="inlineStr">
        <is>
          <t>520526050243</t>
        </is>
      </c>
      <c r="G47" s="4" t="inlineStr">
        <is>
          <t>020</t>
        </is>
      </c>
      <c r="H47" s="4" t="inlineStr">
        <is>
          <t>002</t>
        </is>
      </c>
      <c r="I47" s="4" t="inlineStr">
        <is>
          <t>001600</t>
        </is>
      </c>
      <c r="J47" s="4" t="n">
        <v>108</v>
      </c>
      <c r="K47" s="4" t="n">
        <v>22</v>
      </c>
      <c r="L47" s="4">
        <f>J47+K47</f>
        <v/>
      </c>
      <c r="M47" s="4" t="n">
        <v>116</v>
      </c>
      <c r="N47" s="4" t="n">
        <v>26</v>
      </c>
      <c r="O47" s="4">
        <f>M47+N47</f>
        <v/>
      </c>
      <c r="P47" s="4">
        <f>IF(L47=0,100,O47/L47*100)</f>
        <v/>
      </c>
      <c r="Q47" s="7" t="inlineStr">
        <is>
          <t>PRIORITAS</t>
        </is>
      </c>
    </row>
    <row r="48">
      <c r="B48" s="8" t="n">
        <v>41</v>
      </c>
      <c r="C48" s="9" t="inlineStr">
        <is>
          <t>HAERUDDIN</t>
        </is>
      </c>
      <c r="D48" s="10" t="inlineStr">
        <is>
          <t>520522030054</t>
        </is>
      </c>
      <c r="E48" s="9" t="inlineStr">
        <is>
          <t>Triana Amalia ND</t>
        </is>
      </c>
      <c r="F48" s="10" t="inlineStr">
        <is>
          <t>520526050243</t>
        </is>
      </c>
      <c r="G48" s="8" t="inlineStr">
        <is>
          <t>020</t>
        </is>
      </c>
      <c r="H48" s="8" t="inlineStr">
        <is>
          <t>008</t>
        </is>
      </c>
      <c r="I48" s="8" t="inlineStr">
        <is>
          <t>000200</t>
        </is>
      </c>
      <c r="J48" s="8" t="n">
        <v>145</v>
      </c>
      <c r="K48" s="8" t="n">
        <v>31</v>
      </c>
      <c r="L48" s="8">
        <f>J48+K48</f>
        <v/>
      </c>
      <c r="M48" s="8" t="n">
        <v>0</v>
      </c>
      <c r="N48" s="8" t="n">
        <v>0</v>
      </c>
      <c r="O48" s="8">
        <f>M48+N48</f>
        <v/>
      </c>
      <c r="P48" s="8">
        <f>IF(L48=0,100,O48/L48*100)</f>
        <v/>
      </c>
      <c r="Q48" s="11" t="inlineStr"/>
    </row>
    <row r="49">
      <c r="B49" s="8" t="n">
        <v>42</v>
      </c>
      <c r="C49" s="9" t="inlineStr">
        <is>
          <t>HAERUDDIN</t>
        </is>
      </c>
      <c r="D49" s="10" t="inlineStr">
        <is>
          <t>520522030054</t>
        </is>
      </c>
      <c r="E49" s="9" t="inlineStr">
        <is>
          <t>Triana Amalia ND</t>
        </is>
      </c>
      <c r="F49" s="10" t="inlineStr">
        <is>
          <t>520526050243</t>
        </is>
      </c>
      <c r="G49" s="8" t="inlineStr">
        <is>
          <t>020</t>
        </is>
      </c>
      <c r="H49" s="8" t="inlineStr">
        <is>
          <t>008</t>
        </is>
      </c>
      <c r="I49" s="8" t="inlineStr">
        <is>
          <t>000600</t>
        </is>
      </c>
      <c r="J49" s="8" t="n">
        <v>29</v>
      </c>
      <c r="K49" s="8" t="n">
        <v>11</v>
      </c>
      <c r="L49" s="8">
        <f>J49+K49</f>
        <v/>
      </c>
      <c r="M49" s="8" t="n">
        <v>31</v>
      </c>
      <c r="N49" s="8" t="n">
        <v>10</v>
      </c>
      <c r="O49" s="8">
        <f>M49+N49</f>
        <v/>
      </c>
      <c r="P49" s="8">
        <f>IF(L49=0,100,O49/L49*100)</f>
        <v/>
      </c>
      <c r="Q49" s="11" t="inlineStr"/>
    </row>
    <row r="50">
      <c r="B50" s="8" t="n">
        <v>43</v>
      </c>
      <c r="C50" s="9" t="inlineStr">
        <is>
          <t>HAERUDDIN</t>
        </is>
      </c>
      <c r="D50" s="10" t="inlineStr">
        <is>
          <t>520522030054</t>
        </is>
      </c>
      <c r="E50" s="9" t="inlineStr">
        <is>
          <t>Triana Amalia ND</t>
        </is>
      </c>
      <c r="F50" s="10" t="inlineStr">
        <is>
          <t>520526050243</t>
        </is>
      </c>
      <c r="G50" s="8" t="inlineStr">
        <is>
          <t>020</t>
        </is>
      </c>
      <c r="H50" s="8" t="inlineStr">
        <is>
          <t>008</t>
        </is>
      </c>
      <c r="I50" s="8" t="inlineStr">
        <is>
          <t>000700</t>
        </is>
      </c>
      <c r="J50" s="8" t="n">
        <v>129</v>
      </c>
      <c r="K50" s="8" t="n">
        <v>39</v>
      </c>
      <c r="L50" s="8">
        <f>J50+K50</f>
        <v/>
      </c>
      <c r="M50" s="8" t="n">
        <v>24</v>
      </c>
      <c r="N50" s="8" t="n">
        <v>21</v>
      </c>
      <c r="O50" s="8">
        <f>M50+N50</f>
        <v/>
      </c>
      <c r="P50" s="8">
        <f>IF(L50=0,100,O50/L50*100)</f>
        <v/>
      </c>
      <c r="Q50" s="11" t="inlineStr"/>
    </row>
    <row r="51">
      <c r="B51" s="8" t="n">
        <v>44</v>
      </c>
      <c r="C51" s="9" t="inlineStr">
        <is>
          <t>Hanafi</t>
        </is>
      </c>
      <c r="D51" s="10" t="inlineStr">
        <is>
          <t>520522030018</t>
        </is>
      </c>
      <c r="E51" s="9" t="inlineStr">
        <is>
          <t>Amrizal</t>
        </is>
      </c>
      <c r="F51" s="10" t="inlineStr">
        <is>
          <t>520526050193</t>
        </is>
      </c>
      <c r="G51" s="8" t="inlineStr">
        <is>
          <t>010</t>
        </is>
      </c>
      <c r="H51" s="8" t="inlineStr">
        <is>
          <t>004</t>
        </is>
      </c>
      <c r="I51" s="8" t="inlineStr">
        <is>
          <t>000100</t>
        </is>
      </c>
      <c r="J51" s="8" t="n">
        <v>42</v>
      </c>
      <c r="K51" s="8" t="n">
        <v>10</v>
      </c>
      <c r="L51" s="8">
        <f>J51+K51</f>
        <v/>
      </c>
      <c r="M51" s="8" t="n">
        <v>0</v>
      </c>
      <c r="N51" s="8" t="n">
        <v>0</v>
      </c>
      <c r="O51" s="8">
        <f>M51+N51</f>
        <v/>
      </c>
      <c r="P51" s="8">
        <f>IF(L51=0,100,O51/L51*100)</f>
        <v/>
      </c>
      <c r="Q51" s="11" t="inlineStr"/>
    </row>
    <row r="52">
      <c r="B52" s="8" t="n">
        <v>45</v>
      </c>
      <c r="C52" s="9" t="inlineStr">
        <is>
          <t>Hanafi</t>
        </is>
      </c>
      <c r="D52" s="10" t="inlineStr">
        <is>
          <t>520522030018</t>
        </is>
      </c>
      <c r="E52" s="9" t="inlineStr">
        <is>
          <t>Amrizal</t>
        </is>
      </c>
      <c r="F52" s="10" t="inlineStr">
        <is>
          <t>520526050193</t>
        </is>
      </c>
      <c r="G52" s="8" t="inlineStr">
        <is>
          <t>010</t>
        </is>
      </c>
      <c r="H52" s="8" t="inlineStr">
        <is>
          <t>004</t>
        </is>
      </c>
      <c r="I52" s="8" t="inlineStr">
        <is>
          <t>000400</t>
        </is>
      </c>
      <c r="J52" s="8" t="n">
        <v>60</v>
      </c>
      <c r="K52" s="8" t="n">
        <v>20</v>
      </c>
      <c r="L52" s="8">
        <f>J52+K52</f>
        <v/>
      </c>
      <c r="M52" s="8" t="n">
        <v>0</v>
      </c>
      <c r="N52" s="8" t="n">
        <v>0</v>
      </c>
      <c r="O52" s="8">
        <f>M52+N52</f>
        <v/>
      </c>
      <c r="P52" s="8">
        <f>IF(L52=0,100,O52/L52*100)</f>
        <v/>
      </c>
      <c r="Q52" s="11" t="inlineStr"/>
    </row>
    <row r="53">
      <c r="B53" s="8" t="n">
        <v>46</v>
      </c>
      <c r="C53" s="9" t="inlineStr">
        <is>
          <t>Hanafi</t>
        </is>
      </c>
      <c r="D53" s="10" t="inlineStr">
        <is>
          <t>520522030018</t>
        </is>
      </c>
      <c r="E53" s="9" t="inlineStr">
        <is>
          <t>Amrizal</t>
        </is>
      </c>
      <c r="F53" s="10" t="inlineStr">
        <is>
          <t>520526050193</t>
        </is>
      </c>
      <c r="G53" s="8" t="inlineStr">
        <is>
          <t>010</t>
        </is>
      </c>
      <c r="H53" s="8" t="inlineStr">
        <is>
          <t>004</t>
        </is>
      </c>
      <c r="I53" s="8" t="inlineStr">
        <is>
          <t>001000</t>
        </is>
      </c>
      <c r="J53" s="8" t="n">
        <v>76</v>
      </c>
      <c r="K53" s="8" t="n">
        <v>32</v>
      </c>
      <c r="L53" s="8">
        <f>J53+K53</f>
        <v/>
      </c>
      <c r="M53" s="8" t="n">
        <v>0</v>
      </c>
      <c r="N53" s="8" t="n">
        <v>0</v>
      </c>
      <c r="O53" s="8">
        <f>M53+N53</f>
        <v/>
      </c>
      <c r="P53" s="8">
        <f>IF(L53=0,100,O53/L53*100)</f>
        <v/>
      </c>
      <c r="Q53" s="11" t="inlineStr"/>
    </row>
    <row r="54">
      <c r="B54" s="4" t="n">
        <v>47</v>
      </c>
      <c r="C54" s="5" t="inlineStr">
        <is>
          <t>Hanafi</t>
        </is>
      </c>
      <c r="D54" s="6" t="inlineStr">
        <is>
          <t>520522030018</t>
        </is>
      </c>
      <c r="E54" s="5" t="inlineStr">
        <is>
          <t>Amrizal</t>
        </is>
      </c>
      <c r="F54" s="6" t="inlineStr">
        <is>
          <t>520526050193</t>
        </is>
      </c>
      <c r="G54" s="4" t="inlineStr">
        <is>
          <t>010</t>
        </is>
      </c>
      <c r="H54" s="4" t="inlineStr">
        <is>
          <t>005</t>
        </is>
      </c>
      <c r="I54" s="4" t="inlineStr">
        <is>
          <t>000200</t>
        </is>
      </c>
      <c r="J54" s="4" t="n">
        <v>29</v>
      </c>
      <c r="K54" s="4" t="n">
        <v>15</v>
      </c>
      <c r="L54" s="4">
        <f>J54+K54</f>
        <v/>
      </c>
      <c r="M54" s="4" t="n">
        <v>44</v>
      </c>
      <c r="N54" s="4" t="n">
        <v>17</v>
      </c>
      <c r="O54" s="4">
        <f>M54+N54</f>
        <v/>
      </c>
      <c r="P54" s="4">
        <f>IF(L54=0,100,O54/L54*100)</f>
        <v/>
      </c>
      <c r="Q54" s="7" t="inlineStr">
        <is>
          <t>PRIORITAS</t>
        </is>
      </c>
    </row>
    <row r="55">
      <c r="B55" s="4" t="n">
        <v>48</v>
      </c>
      <c r="C55" s="5" t="inlineStr">
        <is>
          <t>Hanafi</t>
        </is>
      </c>
      <c r="D55" s="6" t="inlineStr">
        <is>
          <t>520522030018</t>
        </is>
      </c>
      <c r="E55" s="5" t="inlineStr">
        <is>
          <t>Amrizal</t>
        </is>
      </c>
      <c r="F55" s="6" t="inlineStr">
        <is>
          <t>520526050193</t>
        </is>
      </c>
      <c r="G55" s="4" t="inlineStr">
        <is>
          <t>010</t>
        </is>
      </c>
      <c r="H55" s="4" t="inlineStr">
        <is>
          <t>005</t>
        </is>
      </c>
      <c r="I55" s="4" t="inlineStr">
        <is>
          <t>001000</t>
        </is>
      </c>
      <c r="J55" s="4" t="n">
        <v>22</v>
      </c>
      <c r="K55" s="4" t="n">
        <v>14</v>
      </c>
      <c r="L55" s="4">
        <f>J55+K55</f>
        <v/>
      </c>
      <c r="M55" s="4" t="n">
        <v>71</v>
      </c>
      <c r="N55" s="4" t="n">
        <v>18</v>
      </c>
      <c r="O55" s="4">
        <f>M55+N55</f>
        <v/>
      </c>
      <c r="P55" s="4">
        <f>IF(L55=0,100,O55/L55*100)</f>
        <v/>
      </c>
      <c r="Q55" s="7" t="inlineStr">
        <is>
          <t>PRIORITAS</t>
        </is>
      </c>
    </row>
    <row r="56">
      <c r="B56" s="4" t="n">
        <v>49</v>
      </c>
      <c r="C56" s="5" t="inlineStr">
        <is>
          <t>Hanafi</t>
        </is>
      </c>
      <c r="D56" s="6" t="inlineStr">
        <is>
          <t>520522030018</t>
        </is>
      </c>
      <c r="E56" s="5" t="inlineStr">
        <is>
          <t>Amrizal</t>
        </is>
      </c>
      <c r="F56" s="6" t="inlineStr">
        <is>
          <t>520526050193</t>
        </is>
      </c>
      <c r="G56" s="4" t="inlineStr">
        <is>
          <t>010</t>
        </is>
      </c>
      <c r="H56" s="4" t="inlineStr">
        <is>
          <t>005</t>
        </is>
      </c>
      <c r="I56" s="4" t="inlineStr">
        <is>
          <t>100100</t>
        </is>
      </c>
      <c r="J56" s="4" t="n">
        <v>0</v>
      </c>
      <c r="K56" s="4" t="n">
        <v>0</v>
      </c>
      <c r="L56" s="4">
        <f>J56+K56</f>
        <v/>
      </c>
      <c r="M56" s="4" t="n">
        <v>2</v>
      </c>
      <c r="N56" s="4" t="n">
        <v>1</v>
      </c>
      <c r="O56" s="4">
        <f>M56+N56</f>
        <v/>
      </c>
      <c r="P56" s="4">
        <f>IF(L56=0,100,O56/L56*100)</f>
        <v/>
      </c>
      <c r="Q56" s="7" t="inlineStr">
        <is>
          <t>PRIORITAS</t>
        </is>
      </c>
    </row>
    <row r="57">
      <c r="B57" s="8" t="n">
        <v>50</v>
      </c>
      <c r="C57" s="9" t="inlineStr">
        <is>
          <t>Hanafi</t>
        </is>
      </c>
      <c r="D57" s="10" t="inlineStr">
        <is>
          <t>520522030018</t>
        </is>
      </c>
      <c r="E57" s="9" t="inlineStr">
        <is>
          <t>Amrizal</t>
        </is>
      </c>
      <c r="F57" s="10" t="inlineStr">
        <is>
          <t>520526050193</t>
        </is>
      </c>
      <c r="G57" s="8" t="inlineStr">
        <is>
          <t>010</t>
        </is>
      </c>
      <c r="H57" s="8" t="inlineStr">
        <is>
          <t>005</t>
        </is>
      </c>
      <c r="I57" s="8" t="inlineStr">
        <is>
          <t>200300</t>
        </is>
      </c>
      <c r="J57" s="8" t="n">
        <v>0</v>
      </c>
      <c r="K57" s="8" t="n">
        <v>0</v>
      </c>
      <c r="L57" s="8">
        <f>J57+K57</f>
        <v/>
      </c>
      <c r="M57" s="8" t="n">
        <v>0</v>
      </c>
      <c r="N57" s="8" t="n">
        <v>0</v>
      </c>
      <c r="O57" s="8">
        <f>M57+N57</f>
        <v/>
      </c>
      <c r="P57" s="8">
        <f>IF(L57=0,100,O57/L57*100)</f>
        <v/>
      </c>
      <c r="Q57" s="11" t="inlineStr"/>
    </row>
    <row r="58">
      <c r="B58" s="4" t="n">
        <v>51</v>
      </c>
      <c r="C58" s="5" t="inlineStr">
        <is>
          <t>Hanafi</t>
        </is>
      </c>
      <c r="D58" s="6" t="inlineStr">
        <is>
          <t>520522030018</t>
        </is>
      </c>
      <c r="E58" s="5" t="inlineStr">
        <is>
          <t>Amrizal</t>
        </is>
      </c>
      <c r="F58" s="6" t="inlineStr">
        <is>
          <t>520526050193</t>
        </is>
      </c>
      <c r="G58" s="4" t="inlineStr">
        <is>
          <t>010</t>
        </is>
      </c>
      <c r="H58" s="4" t="inlineStr">
        <is>
          <t>006</t>
        </is>
      </c>
      <c r="I58" s="4" t="inlineStr">
        <is>
          <t>001100</t>
        </is>
      </c>
      <c r="J58" s="4" t="n">
        <v>62</v>
      </c>
      <c r="K58" s="4" t="n">
        <v>29</v>
      </c>
      <c r="L58" s="4">
        <f>J58+K58</f>
        <v/>
      </c>
      <c r="M58" s="4" t="n">
        <v>56</v>
      </c>
      <c r="N58" s="4" t="n">
        <v>18</v>
      </c>
      <c r="O58" s="4">
        <f>M58+N58</f>
        <v/>
      </c>
      <c r="P58" s="4">
        <f>IF(L58=0,100,O58/L58*100)</f>
        <v/>
      </c>
      <c r="Q58" s="7" t="inlineStr">
        <is>
          <t>PRIORITAS</t>
        </is>
      </c>
    </row>
    <row r="59">
      <c r="B59" s="8" t="n">
        <v>52</v>
      </c>
      <c r="C59" s="9" t="inlineStr">
        <is>
          <t>NILA UTAMA</t>
        </is>
      </c>
      <c r="D59" s="10" t="inlineStr">
        <is>
          <t>520523010001</t>
        </is>
      </c>
      <c r="E59" s="9" t="inlineStr">
        <is>
          <t>ANWAR RIFAID</t>
        </is>
      </c>
      <c r="F59" s="10" t="inlineStr">
        <is>
          <t>520522100011</t>
        </is>
      </c>
      <c r="G59" s="8" t="inlineStr">
        <is>
          <t>051</t>
        </is>
      </c>
      <c r="H59" s="8" t="inlineStr">
        <is>
          <t>005</t>
        </is>
      </c>
      <c r="I59" s="8" t="inlineStr">
        <is>
          <t>002200</t>
        </is>
      </c>
      <c r="J59" s="8" t="n">
        <v>34</v>
      </c>
      <c r="K59" s="8" t="n">
        <v>16</v>
      </c>
      <c r="L59" s="8">
        <f>J59+K59</f>
        <v/>
      </c>
      <c r="M59" s="8" t="n">
        <v>0</v>
      </c>
      <c r="N59" s="8" t="n">
        <v>0</v>
      </c>
      <c r="O59" s="8">
        <f>M59+N59</f>
        <v/>
      </c>
      <c r="P59" s="8">
        <f>IF(L59=0,100,O59/L59*100)</f>
        <v/>
      </c>
      <c r="Q59" s="11" t="inlineStr"/>
    </row>
    <row r="60">
      <c r="B60" s="8" t="n">
        <v>53</v>
      </c>
      <c r="C60" s="9" t="inlineStr">
        <is>
          <t>NILA UTAMA</t>
        </is>
      </c>
      <c r="D60" s="10" t="inlineStr">
        <is>
          <t>520523010001</t>
        </is>
      </c>
      <c r="E60" s="9" t="inlineStr">
        <is>
          <t>ANWAR RIFAID</t>
        </is>
      </c>
      <c r="F60" s="10" t="inlineStr">
        <is>
          <t>520522100011</t>
        </is>
      </c>
      <c r="G60" s="8" t="inlineStr">
        <is>
          <t>051</t>
        </is>
      </c>
      <c r="H60" s="8" t="inlineStr">
        <is>
          <t>005</t>
        </is>
      </c>
      <c r="I60" s="8" t="inlineStr">
        <is>
          <t>002300</t>
        </is>
      </c>
      <c r="J60" s="8" t="n">
        <v>43</v>
      </c>
      <c r="K60" s="8" t="n">
        <v>14</v>
      </c>
      <c r="L60" s="8">
        <f>J60+K60</f>
        <v/>
      </c>
      <c r="M60" s="8" t="n">
        <v>0</v>
      </c>
      <c r="N60" s="8" t="n">
        <v>0</v>
      </c>
      <c r="O60" s="8">
        <f>M60+N60</f>
        <v/>
      </c>
      <c r="P60" s="8">
        <f>IF(L60=0,100,O60/L60*100)</f>
        <v/>
      </c>
      <c r="Q60" s="11" t="inlineStr"/>
    </row>
    <row r="61">
      <c r="B61" s="8" t="n">
        <v>54</v>
      </c>
      <c r="C61" s="9" t="inlineStr">
        <is>
          <t>NILA UTAMA</t>
        </is>
      </c>
      <c r="D61" s="10" t="inlineStr">
        <is>
          <t>520523010001</t>
        </is>
      </c>
      <c r="E61" s="9" t="inlineStr">
        <is>
          <t>ANWAR RIFAID</t>
        </is>
      </c>
      <c r="F61" s="10" t="inlineStr">
        <is>
          <t>520522100011</t>
        </is>
      </c>
      <c r="G61" s="8" t="inlineStr">
        <is>
          <t>051</t>
        </is>
      </c>
      <c r="H61" s="8" t="inlineStr">
        <is>
          <t>005</t>
        </is>
      </c>
      <c r="I61" s="8" t="inlineStr">
        <is>
          <t>002400</t>
        </is>
      </c>
      <c r="J61" s="8" t="n">
        <v>26</v>
      </c>
      <c r="K61" s="8" t="n">
        <v>29</v>
      </c>
      <c r="L61" s="8">
        <f>J61+K61</f>
        <v/>
      </c>
      <c r="M61" s="8" t="n">
        <v>0</v>
      </c>
      <c r="N61" s="8" t="n">
        <v>0</v>
      </c>
      <c r="O61" s="8">
        <f>M61+N61</f>
        <v/>
      </c>
      <c r="P61" s="8">
        <f>IF(L61=0,100,O61/L61*100)</f>
        <v/>
      </c>
      <c r="Q61" s="11" t="inlineStr"/>
    </row>
    <row r="62">
      <c r="B62" s="8" t="n">
        <v>55</v>
      </c>
      <c r="C62" s="9" t="inlineStr">
        <is>
          <t>NILA UTAMA</t>
        </is>
      </c>
      <c r="D62" s="10" t="inlineStr">
        <is>
          <t>520523010001</t>
        </is>
      </c>
      <c r="E62" s="9" t="inlineStr">
        <is>
          <t>ANWAR RIFAID</t>
        </is>
      </c>
      <c r="F62" s="10" t="inlineStr">
        <is>
          <t>520522100011</t>
        </is>
      </c>
      <c r="G62" s="8" t="inlineStr">
        <is>
          <t>051</t>
        </is>
      </c>
      <c r="H62" s="8" t="inlineStr">
        <is>
          <t>005</t>
        </is>
      </c>
      <c r="I62" s="8" t="inlineStr">
        <is>
          <t>100100</t>
        </is>
      </c>
      <c r="J62" s="8" t="n">
        <v>0</v>
      </c>
      <c r="K62" s="8" t="n">
        <v>0</v>
      </c>
      <c r="L62" s="8">
        <f>J62+K62</f>
        <v/>
      </c>
      <c r="M62" s="8" t="n">
        <v>0</v>
      </c>
      <c r="N62" s="8" t="n">
        <v>0</v>
      </c>
      <c r="O62" s="8">
        <f>M62+N62</f>
        <v/>
      </c>
      <c r="P62" s="8">
        <f>IF(L62=0,100,O62/L62*100)</f>
        <v/>
      </c>
      <c r="Q62" s="11" t="inlineStr"/>
    </row>
    <row r="63">
      <c r="B63" s="4" t="n">
        <v>56</v>
      </c>
      <c r="C63" s="5" t="inlineStr">
        <is>
          <t>NILA UTAMA</t>
        </is>
      </c>
      <c r="D63" s="6" t="inlineStr">
        <is>
          <t>520523010001</t>
        </is>
      </c>
      <c r="E63" s="5" t="inlineStr">
        <is>
          <t>ANWAR RIFAID</t>
        </is>
      </c>
      <c r="F63" s="6" t="inlineStr">
        <is>
          <t>520522100011</t>
        </is>
      </c>
      <c r="G63" s="4" t="inlineStr">
        <is>
          <t>051</t>
        </is>
      </c>
      <c r="H63" s="4" t="inlineStr">
        <is>
          <t>005</t>
        </is>
      </c>
      <c r="I63" s="4" t="inlineStr">
        <is>
          <t>100200</t>
        </is>
      </c>
      <c r="J63" s="4" t="n">
        <v>0</v>
      </c>
      <c r="K63" s="4" t="n">
        <v>2</v>
      </c>
      <c r="L63" s="4">
        <f>J63+K63</f>
        <v/>
      </c>
      <c r="M63" s="4" t="n">
        <v>3</v>
      </c>
      <c r="N63" s="4" t="n">
        <v>0</v>
      </c>
      <c r="O63" s="4">
        <f>M63+N63</f>
        <v/>
      </c>
      <c r="P63" s="4">
        <f>IF(L63=0,100,O63/L63*100)</f>
        <v/>
      </c>
      <c r="Q63" s="7" t="inlineStr">
        <is>
          <t>PRIORITAS</t>
        </is>
      </c>
    </row>
    <row r="64">
      <c r="B64" s="4" t="n">
        <v>57</v>
      </c>
      <c r="C64" s="5" t="inlineStr">
        <is>
          <t>NILA UTAMA</t>
        </is>
      </c>
      <c r="D64" s="6" t="inlineStr">
        <is>
          <t>520523010001</t>
        </is>
      </c>
      <c r="E64" s="5" t="inlineStr">
        <is>
          <t>ANWAR RIFAID</t>
        </is>
      </c>
      <c r="F64" s="6" t="inlineStr">
        <is>
          <t>520522100011</t>
        </is>
      </c>
      <c r="G64" s="4" t="inlineStr">
        <is>
          <t>051</t>
        </is>
      </c>
      <c r="H64" s="4" t="inlineStr">
        <is>
          <t>005</t>
        </is>
      </c>
      <c r="I64" s="4" t="inlineStr">
        <is>
          <t>100300</t>
        </is>
      </c>
      <c r="J64" s="4" t="n">
        <v>0</v>
      </c>
      <c r="K64" s="4" t="n">
        <v>18</v>
      </c>
      <c r="L64" s="4">
        <f>J64+K64</f>
        <v/>
      </c>
      <c r="M64" s="4" t="n">
        <v>0</v>
      </c>
      <c r="N64" s="4" t="n">
        <v>18</v>
      </c>
      <c r="O64" s="4">
        <f>M64+N64</f>
        <v/>
      </c>
      <c r="P64" s="4">
        <f>IF(L64=0,100,O64/L64*100)</f>
        <v/>
      </c>
      <c r="Q64" s="7" t="inlineStr">
        <is>
          <t>PRIORITAS</t>
        </is>
      </c>
    </row>
    <row r="65">
      <c r="B65" s="4" t="n">
        <v>58</v>
      </c>
      <c r="C65" s="5" t="inlineStr">
        <is>
          <t>NILA UTAMA</t>
        </is>
      </c>
      <c r="D65" s="6" t="inlineStr">
        <is>
          <t>520523010001</t>
        </is>
      </c>
      <c r="E65" s="5" t="inlineStr">
        <is>
          <t>ANWAR RIFAID</t>
        </is>
      </c>
      <c r="F65" s="6" t="inlineStr">
        <is>
          <t>520522100011</t>
        </is>
      </c>
      <c r="G65" s="4" t="inlineStr">
        <is>
          <t>051</t>
        </is>
      </c>
      <c r="H65" s="4" t="inlineStr">
        <is>
          <t>006</t>
        </is>
      </c>
      <c r="I65" s="4" t="inlineStr">
        <is>
          <t>000700</t>
        </is>
      </c>
      <c r="J65" s="4" t="n">
        <v>94</v>
      </c>
      <c r="K65" s="4" t="n">
        <v>34</v>
      </c>
      <c r="L65" s="4">
        <f>J65+K65</f>
        <v/>
      </c>
      <c r="M65" s="4" t="n">
        <v>141</v>
      </c>
      <c r="N65" s="4" t="n">
        <v>31</v>
      </c>
      <c r="O65" s="4">
        <f>M65+N65</f>
        <v/>
      </c>
      <c r="P65" s="4">
        <f>IF(L65=0,100,O65/L65*100)</f>
        <v/>
      </c>
      <c r="Q65" s="7" t="inlineStr">
        <is>
          <t>PRIORITAS</t>
        </is>
      </c>
    </row>
    <row r="66">
      <c r="B66" s="4" t="n">
        <v>59</v>
      </c>
      <c r="C66" s="5" t="inlineStr">
        <is>
          <t>NILA UTAMA</t>
        </is>
      </c>
      <c r="D66" s="6" t="inlineStr">
        <is>
          <t>520523010001</t>
        </is>
      </c>
      <c r="E66" s="5" t="inlineStr">
        <is>
          <t>ANWAR RIFAID</t>
        </is>
      </c>
      <c r="F66" s="6" t="inlineStr">
        <is>
          <t>520522100011</t>
        </is>
      </c>
      <c r="G66" s="4" t="inlineStr">
        <is>
          <t>051</t>
        </is>
      </c>
      <c r="H66" s="4" t="inlineStr">
        <is>
          <t>006</t>
        </is>
      </c>
      <c r="I66" s="4" t="inlineStr">
        <is>
          <t>000800</t>
        </is>
      </c>
      <c r="J66" s="4" t="n">
        <v>73</v>
      </c>
      <c r="K66" s="4" t="n">
        <v>19</v>
      </c>
      <c r="L66" s="4">
        <f>J66+K66</f>
        <v/>
      </c>
      <c r="M66" s="4" t="n">
        <v>90</v>
      </c>
      <c r="N66" s="4" t="n">
        <v>18</v>
      </c>
      <c r="O66" s="4">
        <f>M66+N66</f>
        <v/>
      </c>
      <c r="P66" s="4">
        <f>IF(L66=0,100,O66/L66*100)</f>
        <v/>
      </c>
      <c r="Q66" s="7" t="inlineStr">
        <is>
          <t>PRIORITAS</t>
        </is>
      </c>
    </row>
    <row r="67">
      <c r="B67" s="8" t="n">
        <v>60</v>
      </c>
      <c r="C67" s="9" t="inlineStr">
        <is>
          <t>NILA UTAMA</t>
        </is>
      </c>
      <c r="D67" s="10" t="inlineStr">
        <is>
          <t>520523010001</t>
        </is>
      </c>
      <c r="E67" s="9" t="inlineStr">
        <is>
          <t>Muhammad Arkham</t>
        </is>
      </c>
      <c r="F67" s="10" t="inlineStr">
        <is>
          <t>520526050050</t>
        </is>
      </c>
      <c r="G67" s="8" t="inlineStr">
        <is>
          <t>051</t>
        </is>
      </c>
      <c r="H67" s="8" t="inlineStr">
        <is>
          <t>005</t>
        </is>
      </c>
      <c r="I67" s="8" t="inlineStr">
        <is>
          <t>000600</t>
        </is>
      </c>
      <c r="J67" s="8" t="n">
        <v>38</v>
      </c>
      <c r="K67" s="8" t="n">
        <v>19</v>
      </c>
      <c r="L67" s="8">
        <f>J67+K67</f>
        <v/>
      </c>
      <c r="M67" s="8" t="n">
        <v>0</v>
      </c>
      <c r="N67" s="8" t="n">
        <v>0</v>
      </c>
      <c r="O67" s="8">
        <f>M67+N67</f>
        <v/>
      </c>
      <c r="P67" s="8">
        <f>IF(L67=0,100,O67/L67*100)</f>
        <v/>
      </c>
      <c r="Q67" s="11" t="inlineStr"/>
    </row>
    <row r="68">
      <c r="B68" s="4" t="n">
        <v>61</v>
      </c>
      <c r="C68" s="5" t="inlineStr">
        <is>
          <t>NILA UTAMA</t>
        </is>
      </c>
      <c r="D68" s="6" t="inlineStr">
        <is>
          <t>520523010001</t>
        </is>
      </c>
      <c r="E68" s="5" t="inlineStr">
        <is>
          <t>Muhammad Arkham</t>
        </is>
      </c>
      <c r="F68" s="6" t="inlineStr">
        <is>
          <t>520526050050</t>
        </is>
      </c>
      <c r="G68" s="4" t="inlineStr">
        <is>
          <t>051</t>
        </is>
      </c>
      <c r="H68" s="4" t="inlineStr">
        <is>
          <t>006</t>
        </is>
      </c>
      <c r="I68" s="4" t="inlineStr">
        <is>
          <t>001700</t>
        </is>
      </c>
      <c r="J68" s="4" t="n">
        <v>73</v>
      </c>
      <c r="K68" s="4" t="n">
        <v>34</v>
      </c>
      <c r="L68" s="4">
        <f>J68+K68</f>
        <v/>
      </c>
      <c r="M68" s="4" t="n">
        <v>65</v>
      </c>
      <c r="N68" s="4" t="n">
        <v>30</v>
      </c>
      <c r="O68" s="4">
        <f>M68+N68</f>
        <v/>
      </c>
      <c r="P68" s="4">
        <f>IF(L68=0,100,O68/L68*100)</f>
        <v/>
      </c>
      <c r="Q68" s="7" t="inlineStr">
        <is>
          <t>PRIORITAS</t>
        </is>
      </c>
    </row>
    <row r="69">
      <c r="B69" s="4" t="n">
        <v>62</v>
      </c>
      <c r="C69" s="5" t="inlineStr">
        <is>
          <t>NILA UTAMA</t>
        </is>
      </c>
      <c r="D69" s="6" t="inlineStr">
        <is>
          <t>520523010001</t>
        </is>
      </c>
      <c r="E69" s="5" t="inlineStr">
        <is>
          <t>Muhammad Arkham</t>
        </is>
      </c>
      <c r="F69" s="6" t="inlineStr">
        <is>
          <t>520526050050</t>
        </is>
      </c>
      <c r="G69" s="4" t="inlineStr">
        <is>
          <t>051</t>
        </is>
      </c>
      <c r="H69" s="4" t="inlineStr">
        <is>
          <t>006</t>
        </is>
      </c>
      <c r="I69" s="4" t="inlineStr">
        <is>
          <t>001800</t>
        </is>
      </c>
      <c r="J69" s="4" t="n">
        <v>46</v>
      </c>
      <c r="K69" s="4" t="n">
        <v>55</v>
      </c>
      <c r="L69" s="4">
        <f>J69+K69</f>
        <v/>
      </c>
      <c r="M69" s="4" t="n">
        <v>51</v>
      </c>
      <c r="N69" s="4" t="n">
        <v>53</v>
      </c>
      <c r="O69" s="4">
        <f>M69+N69</f>
        <v/>
      </c>
      <c r="P69" s="4">
        <f>IF(L69=0,100,O69/L69*100)</f>
        <v/>
      </c>
      <c r="Q69" s="7" t="inlineStr">
        <is>
          <t>PRIORITAS</t>
        </is>
      </c>
    </row>
    <row r="70">
      <c r="B70" s="8" t="n">
        <v>63</v>
      </c>
      <c r="C70" s="9" t="inlineStr">
        <is>
          <t>NILA UTAMA</t>
        </is>
      </c>
      <c r="D70" s="10" t="inlineStr">
        <is>
          <t>520523010001</t>
        </is>
      </c>
      <c r="E70" s="9" t="inlineStr">
        <is>
          <t>Muhammad Arkham</t>
        </is>
      </c>
      <c r="F70" s="10" t="inlineStr">
        <is>
          <t>520526050050</t>
        </is>
      </c>
      <c r="G70" s="8" t="inlineStr">
        <is>
          <t>051</t>
        </is>
      </c>
      <c r="H70" s="8" t="inlineStr">
        <is>
          <t>008</t>
        </is>
      </c>
      <c r="I70" s="8" t="inlineStr">
        <is>
          <t>000300</t>
        </is>
      </c>
      <c r="J70" s="8" t="n">
        <v>19</v>
      </c>
      <c r="K70" s="8" t="n">
        <v>54</v>
      </c>
      <c r="L70" s="8">
        <f>J70+K70</f>
        <v/>
      </c>
      <c r="M70" s="8" t="n">
        <v>0</v>
      </c>
      <c r="N70" s="8" t="n">
        <v>0</v>
      </c>
      <c r="O70" s="8">
        <f>M70+N70</f>
        <v/>
      </c>
      <c r="P70" s="8">
        <f>IF(L70=0,100,O70/L70*100)</f>
        <v/>
      </c>
      <c r="Q70" s="11" t="inlineStr"/>
    </row>
    <row r="71">
      <c r="B71" s="8" t="n">
        <v>64</v>
      </c>
      <c r="C71" s="9" t="inlineStr">
        <is>
          <t>NILA UTAMA</t>
        </is>
      </c>
      <c r="D71" s="10" t="inlineStr">
        <is>
          <t>520523010001</t>
        </is>
      </c>
      <c r="E71" s="9" t="inlineStr">
        <is>
          <t>Muhammad Arkham</t>
        </is>
      </c>
      <c r="F71" s="10" t="inlineStr">
        <is>
          <t>520526050050</t>
        </is>
      </c>
      <c r="G71" s="8" t="inlineStr">
        <is>
          <t>051</t>
        </is>
      </c>
      <c r="H71" s="8" t="inlineStr">
        <is>
          <t>008</t>
        </is>
      </c>
      <c r="I71" s="8" t="inlineStr">
        <is>
          <t>000400</t>
        </is>
      </c>
      <c r="J71" s="8" t="n">
        <v>36</v>
      </c>
      <c r="K71" s="8" t="n">
        <v>0</v>
      </c>
      <c r="L71" s="8">
        <f>J71+K71</f>
        <v/>
      </c>
      <c r="M71" s="8" t="n">
        <v>13</v>
      </c>
      <c r="N71" s="8" t="n">
        <v>0</v>
      </c>
      <c r="O71" s="8">
        <f>M71+N71</f>
        <v/>
      </c>
      <c r="P71" s="8">
        <f>IF(L71=0,100,O71/L71*100)</f>
        <v/>
      </c>
      <c r="Q71" s="11" t="inlineStr"/>
    </row>
    <row r="72">
      <c r="B72" s="4" t="n">
        <v>65</v>
      </c>
      <c r="C72" s="5" t="inlineStr">
        <is>
          <t>NILA UTAMA</t>
        </is>
      </c>
      <c r="D72" s="6" t="inlineStr">
        <is>
          <t>520523010001</t>
        </is>
      </c>
      <c r="E72" s="5" t="inlineStr">
        <is>
          <t>Muhammad Arkham</t>
        </is>
      </c>
      <c r="F72" s="6" t="inlineStr">
        <is>
          <t>520526050050</t>
        </is>
      </c>
      <c r="G72" s="4" t="inlineStr">
        <is>
          <t>051</t>
        </is>
      </c>
      <c r="H72" s="4" t="inlineStr">
        <is>
          <t>008</t>
        </is>
      </c>
      <c r="I72" s="4" t="inlineStr">
        <is>
          <t>002000</t>
        </is>
      </c>
      <c r="J72" s="4" t="n">
        <v>13</v>
      </c>
      <c r="K72" s="4" t="n">
        <v>20</v>
      </c>
      <c r="L72" s="4">
        <f>J72+K72</f>
        <v/>
      </c>
      <c r="M72" s="4" t="n">
        <v>24</v>
      </c>
      <c r="N72" s="4" t="n">
        <v>18</v>
      </c>
      <c r="O72" s="4">
        <f>M72+N72</f>
        <v/>
      </c>
      <c r="P72" s="4">
        <f>IF(L72=0,100,O72/L72*100)</f>
        <v/>
      </c>
      <c r="Q72" s="7" t="inlineStr">
        <is>
          <t>PRIORITAS</t>
        </is>
      </c>
    </row>
    <row r="73">
      <c r="B73" s="8" t="n">
        <v>66</v>
      </c>
      <c r="C73" s="9" t="inlineStr">
        <is>
          <t>NILA UTAMA</t>
        </is>
      </c>
      <c r="D73" s="10" t="inlineStr">
        <is>
          <t>520523010001</t>
        </is>
      </c>
      <c r="E73" s="9" t="inlineStr">
        <is>
          <t>Muhammad Arkham</t>
        </is>
      </c>
      <c r="F73" s="10" t="inlineStr">
        <is>
          <t>520526050050</t>
        </is>
      </c>
      <c r="G73" s="8" t="inlineStr">
        <is>
          <t>051</t>
        </is>
      </c>
      <c r="H73" s="8" t="inlineStr">
        <is>
          <t>008</t>
        </is>
      </c>
      <c r="I73" s="8" t="inlineStr">
        <is>
          <t>002200</t>
        </is>
      </c>
      <c r="J73" s="8" t="n">
        <v>40</v>
      </c>
      <c r="K73" s="8" t="n">
        <v>33</v>
      </c>
      <c r="L73" s="8">
        <f>J73+K73</f>
        <v/>
      </c>
      <c r="M73" s="8" t="n">
        <v>0</v>
      </c>
      <c r="N73" s="8" t="n">
        <v>0</v>
      </c>
      <c r="O73" s="8">
        <f>M73+N73</f>
        <v/>
      </c>
      <c r="P73" s="8">
        <f>IF(L73=0,100,O73/L73*100)</f>
        <v/>
      </c>
      <c r="Q73" s="11" t="inlineStr"/>
    </row>
    <row r="74">
      <c r="B74" s="8" t="n">
        <v>67</v>
      </c>
      <c r="C74" s="9" t="inlineStr">
        <is>
          <t>SUHERMAN</t>
        </is>
      </c>
      <c r="D74" s="10" t="inlineStr">
        <is>
          <t>520522030014</t>
        </is>
      </c>
      <c r="E74" s="9" t="inlineStr">
        <is>
          <t>Titin Fatmawati</t>
        </is>
      </c>
      <c r="F74" s="10" t="inlineStr">
        <is>
          <t>520522030021</t>
        </is>
      </c>
      <c r="G74" s="8" t="inlineStr">
        <is>
          <t>020</t>
        </is>
      </c>
      <c r="H74" s="8" t="inlineStr">
        <is>
          <t>015</t>
        </is>
      </c>
      <c r="I74" s="8" t="inlineStr">
        <is>
          <t>000300</t>
        </is>
      </c>
      <c r="J74" s="8" t="n">
        <v>48</v>
      </c>
      <c r="K74" s="8" t="n">
        <v>23</v>
      </c>
      <c r="L74" s="8">
        <f>J74+K74</f>
        <v/>
      </c>
      <c r="M74" s="8" t="n">
        <v>0</v>
      </c>
      <c r="N74" s="8" t="n">
        <v>0</v>
      </c>
      <c r="O74" s="8">
        <f>M74+N74</f>
        <v/>
      </c>
      <c r="P74" s="8">
        <f>IF(L74=0,100,O74/L74*100)</f>
        <v/>
      </c>
      <c r="Q74" s="11" t="inlineStr"/>
    </row>
    <row r="75">
      <c r="B75" s="8" t="n">
        <v>68</v>
      </c>
      <c r="C75" s="9" t="inlineStr">
        <is>
          <t>SUHERMAN</t>
        </is>
      </c>
      <c r="D75" s="10" t="inlineStr">
        <is>
          <t>520522030014</t>
        </is>
      </c>
      <c r="E75" s="9" t="inlineStr">
        <is>
          <t>Titin Fatmawati</t>
        </is>
      </c>
      <c r="F75" s="10" t="inlineStr">
        <is>
          <t>520522030021</t>
        </is>
      </c>
      <c r="G75" s="8" t="inlineStr">
        <is>
          <t>020</t>
        </is>
      </c>
      <c r="H75" s="8" t="inlineStr">
        <is>
          <t>015</t>
        </is>
      </c>
      <c r="I75" s="8" t="inlineStr">
        <is>
          <t>000800</t>
        </is>
      </c>
      <c r="J75" s="8" t="n">
        <v>66</v>
      </c>
      <c r="K75" s="8" t="n">
        <v>27</v>
      </c>
      <c r="L75" s="8">
        <f>J75+K75</f>
        <v/>
      </c>
      <c r="M75" s="8" t="n">
        <v>0</v>
      </c>
      <c r="N75" s="8" t="n">
        <v>0</v>
      </c>
      <c r="O75" s="8">
        <f>M75+N75</f>
        <v/>
      </c>
      <c r="P75" s="8">
        <f>IF(L75=0,100,O75/L75*100)</f>
        <v/>
      </c>
      <c r="Q75" s="11" t="inlineStr"/>
    </row>
    <row r="76">
      <c r="B76" s="4" t="n">
        <v>69</v>
      </c>
      <c r="C76" s="5" t="inlineStr">
        <is>
          <t>SUHERMAN</t>
        </is>
      </c>
      <c r="D76" s="6" t="inlineStr">
        <is>
          <t>520522030014</t>
        </is>
      </c>
      <c r="E76" s="5" t="inlineStr">
        <is>
          <t>Titin Fatmawati</t>
        </is>
      </c>
      <c r="F76" s="6" t="inlineStr">
        <is>
          <t>520522030021</t>
        </is>
      </c>
      <c r="G76" s="4" t="inlineStr">
        <is>
          <t>020</t>
        </is>
      </c>
      <c r="H76" s="4" t="inlineStr">
        <is>
          <t>015</t>
        </is>
      </c>
      <c r="I76" s="4" t="inlineStr">
        <is>
          <t>001500</t>
        </is>
      </c>
      <c r="J76" s="4" t="n">
        <v>112</v>
      </c>
      <c r="K76" s="4" t="n">
        <v>76</v>
      </c>
      <c r="L76" s="4">
        <f>J76+K76</f>
        <v/>
      </c>
      <c r="M76" s="4" t="n">
        <v>112</v>
      </c>
      <c r="N76" s="4" t="n">
        <v>69</v>
      </c>
      <c r="O76" s="4">
        <f>M76+N76</f>
        <v/>
      </c>
      <c r="P76" s="4">
        <f>IF(L76=0,100,O76/L76*100)</f>
        <v/>
      </c>
      <c r="Q76" s="7" t="inlineStr">
        <is>
          <t>PRIORITAS</t>
        </is>
      </c>
    </row>
    <row r="77">
      <c r="B77" s="4" t="n">
        <v>70</v>
      </c>
      <c r="C77" s="5" t="inlineStr">
        <is>
          <t>SUHERMAN</t>
        </is>
      </c>
      <c r="D77" s="6" t="inlineStr">
        <is>
          <t>520522030014</t>
        </is>
      </c>
      <c r="E77" s="5" t="inlineStr">
        <is>
          <t>Titin Fatmawati</t>
        </is>
      </c>
      <c r="F77" s="6" t="inlineStr">
        <is>
          <t>520522030021</t>
        </is>
      </c>
      <c r="G77" s="4" t="inlineStr">
        <is>
          <t>020</t>
        </is>
      </c>
      <c r="H77" s="4" t="inlineStr">
        <is>
          <t>015</t>
        </is>
      </c>
      <c r="I77" s="4" t="inlineStr">
        <is>
          <t>001700</t>
        </is>
      </c>
      <c r="J77" s="4" t="n">
        <v>117</v>
      </c>
      <c r="K77" s="4" t="n">
        <v>54</v>
      </c>
      <c r="L77" s="4">
        <f>J77+K77</f>
        <v/>
      </c>
      <c r="M77" s="4" t="n">
        <v>131</v>
      </c>
      <c r="N77" s="4" t="n">
        <v>50</v>
      </c>
      <c r="O77" s="4">
        <f>M77+N77</f>
        <v/>
      </c>
      <c r="P77" s="4">
        <f>IF(L77=0,100,O77/L77*100)</f>
        <v/>
      </c>
      <c r="Q77" s="7" t="inlineStr">
        <is>
          <t>PRIORITAS</t>
        </is>
      </c>
    </row>
    <row r="78">
      <c r="B78" s="8" t="n">
        <v>71</v>
      </c>
      <c r="C78" s="9" t="inlineStr">
        <is>
          <t>SUHERMAN</t>
        </is>
      </c>
      <c r="D78" s="10" t="inlineStr">
        <is>
          <t>520522030014</t>
        </is>
      </c>
      <c r="E78" s="9" t="inlineStr">
        <is>
          <t>Titin Fatmawati</t>
        </is>
      </c>
      <c r="F78" s="10" t="inlineStr">
        <is>
          <t>520522030021</t>
        </is>
      </c>
      <c r="G78" s="8" t="inlineStr">
        <is>
          <t>020</t>
        </is>
      </c>
      <c r="H78" s="8" t="inlineStr">
        <is>
          <t>015</t>
        </is>
      </c>
      <c r="I78" s="8" t="inlineStr">
        <is>
          <t>100300</t>
        </is>
      </c>
      <c r="J78" s="8" t="n">
        <v>3</v>
      </c>
      <c r="K78" s="8" t="n">
        <v>143</v>
      </c>
      <c r="L78" s="8">
        <f>J78+K78</f>
        <v/>
      </c>
      <c r="M78" s="8" t="n">
        <v>0</v>
      </c>
      <c r="N78" s="8" t="n">
        <v>0</v>
      </c>
      <c r="O78" s="8">
        <f>M78+N78</f>
        <v/>
      </c>
      <c r="P78" s="8">
        <f>IF(L78=0,100,O78/L78*100)</f>
        <v/>
      </c>
      <c r="Q78" s="11" t="inlineStr"/>
    </row>
    <row r="79">
      <c r="B79" s="4" t="n">
        <v>72</v>
      </c>
      <c r="C79" s="5" t="inlineStr">
        <is>
          <t>Syahril Sidik</t>
        </is>
      </c>
      <c r="D79" s="6" t="inlineStr">
        <is>
          <t>520523050009</t>
        </is>
      </c>
      <c r="E79" s="5" t="inlineStr">
        <is>
          <t>Ayu wandira</t>
        </is>
      </c>
      <c r="F79" s="6" t="inlineStr">
        <is>
          <t>520525110011</t>
        </is>
      </c>
      <c r="G79" s="4" t="inlineStr">
        <is>
          <t>051</t>
        </is>
      </c>
      <c r="H79" s="4" t="inlineStr">
        <is>
          <t>012</t>
        </is>
      </c>
      <c r="I79" s="4" t="inlineStr">
        <is>
          <t>000100</t>
        </is>
      </c>
      <c r="J79" s="4" t="n">
        <v>64</v>
      </c>
      <c r="K79" s="4" t="n">
        <v>49</v>
      </c>
      <c r="L79" s="4">
        <f>J79+K79</f>
        <v/>
      </c>
      <c r="M79" s="4" t="n">
        <v>74</v>
      </c>
      <c r="N79" s="4" t="n">
        <v>34</v>
      </c>
      <c r="O79" s="4">
        <f>M79+N79</f>
        <v/>
      </c>
      <c r="P79" s="4">
        <f>IF(L79=0,100,O79/L79*100)</f>
        <v/>
      </c>
      <c r="Q79" s="7" t="inlineStr">
        <is>
          <t>PRIORITAS</t>
        </is>
      </c>
    </row>
    <row r="80">
      <c r="B80" s="4" t="n">
        <v>73</v>
      </c>
      <c r="C80" s="5" t="inlineStr">
        <is>
          <t>Syahril Sidik</t>
        </is>
      </c>
      <c r="D80" s="6" t="inlineStr">
        <is>
          <t>520523050009</t>
        </is>
      </c>
      <c r="E80" s="5" t="inlineStr">
        <is>
          <t>Ayu wandira</t>
        </is>
      </c>
      <c r="F80" s="6" t="inlineStr">
        <is>
          <t>520525110011</t>
        </is>
      </c>
      <c r="G80" s="4" t="inlineStr">
        <is>
          <t>051</t>
        </is>
      </c>
      <c r="H80" s="4" t="inlineStr">
        <is>
          <t>012</t>
        </is>
      </c>
      <c r="I80" s="4" t="inlineStr">
        <is>
          <t>000200</t>
        </is>
      </c>
      <c r="J80" s="4" t="n">
        <v>71</v>
      </c>
      <c r="K80" s="4" t="n">
        <v>48</v>
      </c>
      <c r="L80" s="4">
        <f>J80+K80</f>
        <v/>
      </c>
      <c r="M80" s="4" t="n">
        <v>65</v>
      </c>
      <c r="N80" s="4" t="n">
        <v>49</v>
      </c>
      <c r="O80" s="4">
        <f>M80+N80</f>
        <v/>
      </c>
      <c r="P80" s="4">
        <f>IF(L80=0,100,O80/L80*100)</f>
        <v/>
      </c>
      <c r="Q80" s="7" t="inlineStr">
        <is>
          <t>PRIORITAS</t>
        </is>
      </c>
    </row>
    <row r="81">
      <c r="B81" s="8" t="n">
        <v>74</v>
      </c>
      <c r="C81" s="9" t="inlineStr">
        <is>
          <t>Syahril Sidik</t>
        </is>
      </c>
      <c r="D81" s="10" t="inlineStr">
        <is>
          <t>520523050009</t>
        </is>
      </c>
      <c r="E81" s="9" t="inlineStr">
        <is>
          <t>Ayu wandira</t>
        </is>
      </c>
      <c r="F81" s="10" t="inlineStr">
        <is>
          <t>520525110011</t>
        </is>
      </c>
      <c r="G81" s="8" t="inlineStr">
        <is>
          <t>051</t>
        </is>
      </c>
      <c r="H81" s="8" t="inlineStr">
        <is>
          <t>012</t>
        </is>
      </c>
      <c r="I81" s="8" t="inlineStr">
        <is>
          <t>000300</t>
        </is>
      </c>
      <c r="J81" s="8" t="n">
        <v>56</v>
      </c>
      <c r="K81" s="8" t="n">
        <v>41</v>
      </c>
      <c r="L81" s="8">
        <f>J81+K81</f>
        <v/>
      </c>
      <c r="M81" s="8" t="n">
        <v>8</v>
      </c>
      <c r="N81" s="8" t="n">
        <v>12</v>
      </c>
      <c r="O81" s="8">
        <f>M81+N81</f>
        <v/>
      </c>
      <c r="P81" s="8">
        <f>IF(L81=0,100,O81/L81*100)</f>
        <v/>
      </c>
      <c r="Q81" s="11" t="inlineStr"/>
    </row>
    <row r="82">
      <c r="B82" s="8" t="n">
        <v>75</v>
      </c>
      <c r="C82" s="9" t="inlineStr">
        <is>
          <t>Syahril Sidik</t>
        </is>
      </c>
      <c r="D82" s="10" t="inlineStr">
        <is>
          <t>520523050009</t>
        </is>
      </c>
      <c r="E82" s="9" t="inlineStr">
        <is>
          <t>Ayu wandira</t>
        </is>
      </c>
      <c r="F82" s="10" t="inlineStr">
        <is>
          <t>520525110011</t>
        </is>
      </c>
      <c r="G82" s="8" t="inlineStr">
        <is>
          <t>051</t>
        </is>
      </c>
      <c r="H82" s="8" t="inlineStr">
        <is>
          <t>012</t>
        </is>
      </c>
      <c r="I82" s="8" t="inlineStr">
        <is>
          <t>000600</t>
        </is>
      </c>
      <c r="J82" s="8" t="n">
        <v>30</v>
      </c>
      <c r="K82" s="8" t="n">
        <v>32</v>
      </c>
      <c r="L82" s="8">
        <f>J82+K82</f>
        <v/>
      </c>
      <c r="M82" s="8" t="n">
        <v>0</v>
      </c>
      <c r="N82" s="8" t="n">
        <v>1</v>
      </c>
      <c r="O82" s="8">
        <f>M82+N82</f>
        <v/>
      </c>
      <c r="P82" s="8">
        <f>IF(L82=0,100,O82/L82*100)</f>
        <v/>
      </c>
      <c r="Q82" s="11" t="inlineStr"/>
    </row>
    <row r="83">
      <c r="B83" s="8" t="n">
        <v>76</v>
      </c>
      <c r="C83" s="9" t="inlineStr">
        <is>
          <t>Syahril Sidik</t>
        </is>
      </c>
      <c r="D83" s="10" t="inlineStr">
        <is>
          <t>520523050009</t>
        </is>
      </c>
      <c r="E83" s="9" t="inlineStr">
        <is>
          <t>Ayu wandira</t>
        </is>
      </c>
      <c r="F83" s="10" t="inlineStr">
        <is>
          <t>520525110011</t>
        </is>
      </c>
      <c r="G83" s="8" t="inlineStr">
        <is>
          <t>051</t>
        </is>
      </c>
      <c r="H83" s="8" t="inlineStr">
        <is>
          <t>012</t>
        </is>
      </c>
      <c r="I83" s="8" t="inlineStr">
        <is>
          <t>000700</t>
        </is>
      </c>
      <c r="J83" s="8" t="n">
        <v>63</v>
      </c>
      <c r="K83" s="8" t="n">
        <v>46</v>
      </c>
      <c r="L83" s="8">
        <f>J83+K83</f>
        <v/>
      </c>
      <c r="M83" s="8" t="n">
        <v>1</v>
      </c>
      <c r="N83" s="8" t="n">
        <v>6</v>
      </c>
      <c r="O83" s="8">
        <f>M83+N83</f>
        <v/>
      </c>
      <c r="P83" s="8">
        <f>IF(L83=0,100,O83/L83*100)</f>
        <v/>
      </c>
      <c r="Q83" s="11" t="inlineStr"/>
    </row>
    <row r="84">
      <c r="B84" s="4" t="n">
        <v>77</v>
      </c>
      <c r="C84" s="5" t="inlineStr">
        <is>
          <t>Syahril Sidik</t>
        </is>
      </c>
      <c r="D84" s="6" t="inlineStr">
        <is>
          <t>520523050009</t>
        </is>
      </c>
      <c r="E84" s="5" t="inlineStr">
        <is>
          <t>Ayu wandira</t>
        </is>
      </c>
      <c r="F84" s="6" t="inlineStr">
        <is>
          <t>520525110011</t>
        </is>
      </c>
      <c r="G84" s="4" t="inlineStr">
        <is>
          <t>051</t>
        </is>
      </c>
      <c r="H84" s="4" t="inlineStr">
        <is>
          <t>012</t>
        </is>
      </c>
      <c r="I84" s="4" t="inlineStr">
        <is>
          <t>000800</t>
        </is>
      </c>
      <c r="J84" s="4" t="n">
        <v>34</v>
      </c>
      <c r="K84" s="4" t="n">
        <v>23</v>
      </c>
      <c r="L84" s="4">
        <f>J84+K84</f>
        <v/>
      </c>
      <c r="M84" s="4" t="n">
        <v>34</v>
      </c>
      <c r="N84" s="4" t="n">
        <v>23</v>
      </c>
      <c r="O84" s="4">
        <f>M84+N84</f>
        <v/>
      </c>
      <c r="P84" s="4">
        <f>IF(L84=0,100,O84/L84*100)</f>
        <v/>
      </c>
      <c r="Q84" s="7" t="inlineStr">
        <is>
          <t>PRIORITAS</t>
        </is>
      </c>
    </row>
    <row r="85">
      <c r="B85" s="8" t="n">
        <v>78</v>
      </c>
      <c r="C85" s="9" t="inlineStr">
        <is>
          <t>Syahril Sidik</t>
        </is>
      </c>
      <c r="D85" s="10" t="inlineStr">
        <is>
          <t>520523050009</t>
        </is>
      </c>
      <c r="E85" s="9" t="inlineStr">
        <is>
          <t>Ayu wandira</t>
        </is>
      </c>
      <c r="F85" s="10" t="inlineStr">
        <is>
          <t>520525110011</t>
        </is>
      </c>
      <c r="G85" s="8" t="inlineStr">
        <is>
          <t>051</t>
        </is>
      </c>
      <c r="H85" s="8" t="inlineStr">
        <is>
          <t>012</t>
        </is>
      </c>
      <c r="I85" s="8" t="inlineStr">
        <is>
          <t>100100</t>
        </is>
      </c>
      <c r="J85" s="8" t="n">
        <v>0</v>
      </c>
      <c r="K85" s="8" t="n">
        <v>0</v>
      </c>
      <c r="L85" s="8">
        <f>J85+K85</f>
        <v/>
      </c>
      <c r="M85" s="8" t="n">
        <v>0</v>
      </c>
      <c r="N85" s="8" t="n">
        <v>0</v>
      </c>
      <c r="O85" s="8">
        <f>M85+N85</f>
        <v/>
      </c>
      <c r="P85" s="8">
        <f>IF(L85=0,100,O85/L85*100)</f>
        <v/>
      </c>
      <c r="Q85" s="11" t="inlineStr"/>
    </row>
    <row r="86">
      <c r="B86" s="8" t="n">
        <v>79</v>
      </c>
      <c r="C86" s="9" t="inlineStr">
        <is>
          <t>Syahril Sidik</t>
        </is>
      </c>
      <c r="D86" s="10" t="inlineStr">
        <is>
          <t>520523050009</t>
        </is>
      </c>
      <c r="E86" s="9" t="inlineStr">
        <is>
          <t>MIRJAN ALHALIK</t>
        </is>
      </c>
      <c r="F86" s="10" t="inlineStr">
        <is>
          <t>520522100132</t>
        </is>
      </c>
      <c r="G86" s="8" t="inlineStr">
        <is>
          <t>051</t>
        </is>
      </c>
      <c r="H86" s="8" t="inlineStr">
        <is>
          <t>002</t>
        </is>
      </c>
      <c r="I86" s="8" t="inlineStr">
        <is>
          <t>000400</t>
        </is>
      </c>
      <c r="J86" s="8" t="n">
        <v>57</v>
      </c>
      <c r="K86" s="8" t="n">
        <v>27</v>
      </c>
      <c r="L86" s="8">
        <f>J86+K86</f>
        <v/>
      </c>
      <c r="M86" s="8" t="n">
        <v>0</v>
      </c>
      <c r="N86" s="8" t="n">
        <v>0</v>
      </c>
      <c r="O86" s="8">
        <f>M86+N86</f>
        <v/>
      </c>
      <c r="P86" s="8">
        <f>IF(L86=0,100,O86/L86*100)</f>
        <v/>
      </c>
      <c r="Q86" s="11" t="inlineStr"/>
    </row>
    <row r="87">
      <c r="B87" s="4" t="n">
        <v>80</v>
      </c>
      <c r="C87" s="5" t="inlineStr">
        <is>
          <t>Syahril Sidik</t>
        </is>
      </c>
      <c r="D87" s="6" t="inlineStr">
        <is>
          <t>520523050009</t>
        </is>
      </c>
      <c r="E87" s="5" t="inlineStr">
        <is>
          <t>MIRJAN ALHALIK</t>
        </is>
      </c>
      <c r="F87" s="6" t="inlineStr">
        <is>
          <t>520522100132</t>
        </is>
      </c>
      <c r="G87" s="4" t="inlineStr">
        <is>
          <t>051</t>
        </is>
      </c>
      <c r="H87" s="4" t="inlineStr">
        <is>
          <t>002</t>
        </is>
      </c>
      <c r="I87" s="4" t="inlineStr">
        <is>
          <t>000600</t>
        </is>
      </c>
      <c r="J87" s="4" t="n">
        <v>103</v>
      </c>
      <c r="K87" s="4" t="n">
        <v>26</v>
      </c>
      <c r="L87" s="4">
        <f>J87+K87</f>
        <v/>
      </c>
      <c r="M87" s="4" t="n">
        <v>108</v>
      </c>
      <c r="N87" s="4" t="n">
        <v>26</v>
      </c>
      <c r="O87" s="4">
        <f>M87+N87</f>
        <v/>
      </c>
      <c r="P87" s="4">
        <f>IF(L87=0,100,O87/L87*100)</f>
        <v/>
      </c>
      <c r="Q87" s="7" t="inlineStr">
        <is>
          <t>PRIORITAS</t>
        </is>
      </c>
    </row>
    <row r="88">
      <c r="B88" s="4" t="n">
        <v>81</v>
      </c>
      <c r="C88" s="5" t="inlineStr">
        <is>
          <t>Syahril Sidik</t>
        </is>
      </c>
      <c r="D88" s="6" t="inlineStr">
        <is>
          <t>520523050009</t>
        </is>
      </c>
      <c r="E88" s="5" t="inlineStr">
        <is>
          <t>MIRJAN ALHALIK</t>
        </is>
      </c>
      <c r="F88" s="6" t="inlineStr">
        <is>
          <t>520522100132</t>
        </is>
      </c>
      <c r="G88" s="4" t="inlineStr">
        <is>
          <t>051</t>
        </is>
      </c>
      <c r="H88" s="4" t="inlineStr">
        <is>
          <t>002</t>
        </is>
      </c>
      <c r="I88" s="4" t="inlineStr">
        <is>
          <t>000700</t>
        </is>
      </c>
      <c r="J88" s="4" t="n">
        <v>53</v>
      </c>
      <c r="K88" s="4" t="n">
        <v>15</v>
      </c>
      <c r="L88" s="4">
        <f>J88+K88</f>
        <v/>
      </c>
      <c r="M88" s="4" t="n">
        <v>54</v>
      </c>
      <c r="N88" s="4" t="n">
        <v>13</v>
      </c>
      <c r="O88" s="4">
        <f>M88+N88</f>
        <v/>
      </c>
      <c r="P88" s="4">
        <f>IF(L88=0,100,O88/L88*100)</f>
        <v/>
      </c>
      <c r="Q88" s="7" t="inlineStr">
        <is>
          <t>PRIORITAS</t>
        </is>
      </c>
    </row>
    <row r="89">
      <c r="B89" s="4" t="n">
        <v>82</v>
      </c>
      <c r="C89" s="5" t="inlineStr">
        <is>
          <t>Syahril Sidik</t>
        </is>
      </c>
      <c r="D89" s="6" t="inlineStr">
        <is>
          <t>520523050009</t>
        </is>
      </c>
      <c r="E89" s="5" t="inlineStr">
        <is>
          <t>MIRJAN ALHALIK</t>
        </is>
      </c>
      <c r="F89" s="6" t="inlineStr">
        <is>
          <t>520522100132</t>
        </is>
      </c>
      <c r="G89" s="4" t="inlineStr">
        <is>
          <t>051</t>
        </is>
      </c>
      <c r="H89" s="4" t="inlineStr">
        <is>
          <t>002</t>
        </is>
      </c>
      <c r="I89" s="4" t="inlineStr">
        <is>
          <t>000800</t>
        </is>
      </c>
      <c r="J89" s="4" t="n">
        <v>86</v>
      </c>
      <c r="K89" s="4" t="n">
        <v>23</v>
      </c>
      <c r="L89" s="4">
        <f>J89+K89</f>
        <v/>
      </c>
      <c r="M89" s="4" t="n">
        <v>94</v>
      </c>
      <c r="N89" s="4" t="n">
        <v>26</v>
      </c>
      <c r="O89" s="4">
        <f>M89+N89</f>
        <v/>
      </c>
      <c r="P89" s="4">
        <f>IF(L89=0,100,O89/L89*100)</f>
        <v/>
      </c>
      <c r="Q89" s="7" t="inlineStr">
        <is>
          <t>PRIORITAS</t>
        </is>
      </c>
    </row>
    <row r="90">
      <c r="B90" s="8" t="n">
        <v>83</v>
      </c>
      <c r="C90" s="9" t="inlineStr">
        <is>
          <t>Syahril Sidik</t>
        </is>
      </c>
      <c r="D90" s="10" t="inlineStr">
        <is>
          <t>520523050009</t>
        </is>
      </c>
      <c r="E90" s="9" t="inlineStr">
        <is>
          <t>MIRJAN ALHALIK</t>
        </is>
      </c>
      <c r="F90" s="10" t="inlineStr">
        <is>
          <t>520522100132</t>
        </is>
      </c>
      <c r="G90" s="8" t="inlineStr">
        <is>
          <t>051</t>
        </is>
      </c>
      <c r="H90" s="8" t="inlineStr">
        <is>
          <t>002</t>
        </is>
      </c>
      <c r="I90" s="8" t="inlineStr">
        <is>
          <t>000900</t>
        </is>
      </c>
      <c r="J90" s="8" t="n">
        <v>32</v>
      </c>
      <c r="K90" s="8" t="n">
        <v>8</v>
      </c>
      <c r="L90" s="8">
        <f>J90+K90</f>
        <v/>
      </c>
      <c r="M90" s="8" t="n">
        <v>0</v>
      </c>
      <c r="N90" s="8" t="n">
        <v>0</v>
      </c>
      <c r="O90" s="8">
        <f>M90+N90</f>
        <v/>
      </c>
      <c r="P90" s="8">
        <f>IF(L90=0,100,O90/L90*100)</f>
        <v/>
      </c>
      <c r="Q90" s="11" t="inlineStr"/>
    </row>
    <row r="91">
      <c r="B91" s="8" t="n">
        <v>84</v>
      </c>
      <c r="C91" s="9" t="inlineStr">
        <is>
          <t>Syahril Sidik</t>
        </is>
      </c>
      <c r="D91" s="10" t="inlineStr">
        <is>
          <t>520523050009</t>
        </is>
      </c>
      <c r="E91" s="9" t="inlineStr">
        <is>
          <t>MIRJAN ALHALIK</t>
        </is>
      </c>
      <c r="F91" s="10" t="inlineStr">
        <is>
          <t>520522100132</t>
        </is>
      </c>
      <c r="G91" s="8" t="inlineStr">
        <is>
          <t>051</t>
        </is>
      </c>
      <c r="H91" s="8" t="inlineStr">
        <is>
          <t>002</t>
        </is>
      </c>
      <c r="I91" s="8" t="inlineStr">
        <is>
          <t>001000</t>
        </is>
      </c>
      <c r="J91" s="8" t="n">
        <v>39</v>
      </c>
      <c r="K91" s="8" t="n">
        <v>8</v>
      </c>
      <c r="L91" s="8">
        <f>J91+K91</f>
        <v/>
      </c>
      <c r="M91" s="8" t="n">
        <v>5</v>
      </c>
      <c r="N91" s="8" t="n">
        <v>0</v>
      </c>
      <c r="O91" s="8">
        <f>M91+N91</f>
        <v/>
      </c>
      <c r="P91" s="8">
        <f>IF(L91=0,100,O91/L91*100)</f>
        <v/>
      </c>
      <c r="Q91" s="11" t="inlineStr"/>
    </row>
    <row r="92">
      <c r="B92" s="8" t="n">
        <v>85</v>
      </c>
      <c r="C92" s="9" t="inlineStr">
        <is>
          <t>Syahril Sidik</t>
        </is>
      </c>
      <c r="D92" s="10" t="inlineStr">
        <is>
          <t>520523050009</t>
        </is>
      </c>
      <c r="E92" s="9" t="inlineStr">
        <is>
          <t>MIRJAN ALHALIK</t>
        </is>
      </c>
      <c r="F92" s="10" t="inlineStr">
        <is>
          <t>520522100132</t>
        </is>
      </c>
      <c r="G92" s="8" t="inlineStr">
        <is>
          <t>051</t>
        </is>
      </c>
      <c r="H92" s="8" t="inlineStr">
        <is>
          <t>002</t>
        </is>
      </c>
      <c r="I92" s="8" t="inlineStr">
        <is>
          <t>001100</t>
        </is>
      </c>
      <c r="J92" s="8" t="n">
        <v>32</v>
      </c>
      <c r="K92" s="8" t="n">
        <v>18</v>
      </c>
      <c r="L92" s="8">
        <f>J92+K92</f>
        <v/>
      </c>
      <c r="M92" s="8" t="n">
        <v>0</v>
      </c>
      <c r="N92" s="8" t="n">
        <v>0</v>
      </c>
      <c r="O92" s="8">
        <f>M92+N92</f>
        <v/>
      </c>
      <c r="P92" s="8">
        <f>IF(L92=0,100,O92/L92*100)</f>
        <v/>
      </c>
      <c r="Q92" s="11" t="inlineStr"/>
    </row>
    <row r="93">
      <c r="B93" s="8" t="n">
        <v>86</v>
      </c>
      <c r="C93" s="9" t="inlineStr">
        <is>
          <t>Syahril Sidik</t>
        </is>
      </c>
      <c r="D93" s="10" t="inlineStr">
        <is>
          <t>520523050009</t>
        </is>
      </c>
      <c r="E93" s="9" t="inlineStr">
        <is>
          <t>MIRJAN ALHALIK</t>
        </is>
      </c>
      <c r="F93" s="10" t="inlineStr">
        <is>
          <t>520522100132</t>
        </is>
      </c>
      <c r="G93" s="8" t="inlineStr">
        <is>
          <t>051</t>
        </is>
      </c>
      <c r="H93" s="8" t="inlineStr">
        <is>
          <t>002</t>
        </is>
      </c>
      <c r="I93" s="8" t="inlineStr">
        <is>
          <t>100300</t>
        </is>
      </c>
      <c r="J93" s="8" t="n">
        <v>0</v>
      </c>
      <c r="K93" s="8" t="n">
        <v>0</v>
      </c>
      <c r="L93" s="8">
        <f>J93+K93</f>
        <v/>
      </c>
      <c r="M93" s="8" t="n">
        <v>0</v>
      </c>
      <c r="N93" s="8" t="n">
        <v>0</v>
      </c>
      <c r="O93" s="8">
        <f>M93+N93</f>
        <v/>
      </c>
      <c r="P93" s="8">
        <f>IF(L93=0,100,O93/L93*100)</f>
        <v/>
      </c>
      <c r="Q93" s="11" t="inlineStr"/>
    </row>
    <row r="94">
      <c r="B94" s="4" t="n">
        <v>87</v>
      </c>
      <c r="C94" s="5" t="inlineStr">
        <is>
          <t>Syahril Sidik</t>
        </is>
      </c>
      <c r="D94" s="6" t="inlineStr">
        <is>
          <t>520523050009</t>
        </is>
      </c>
      <c r="E94" s="5" t="inlineStr">
        <is>
          <t>MIRJAN ALHALIK</t>
        </is>
      </c>
      <c r="F94" s="6" t="inlineStr">
        <is>
          <t>520522100132</t>
        </is>
      </c>
      <c r="G94" s="4" t="inlineStr">
        <is>
          <t>051</t>
        </is>
      </c>
      <c r="H94" s="4" t="inlineStr">
        <is>
          <t>002</t>
        </is>
      </c>
      <c r="I94" s="4" t="inlineStr">
        <is>
          <t>100500</t>
        </is>
      </c>
      <c r="J94" s="4" t="n">
        <v>0</v>
      </c>
      <c r="K94" s="4" t="n">
        <v>0</v>
      </c>
      <c r="L94" s="4">
        <f>J94+K94</f>
        <v/>
      </c>
      <c r="M94" s="4" t="n">
        <v>0</v>
      </c>
      <c r="N94" s="4" t="n">
        <v>0</v>
      </c>
      <c r="O94" s="4">
        <f>M94+N94</f>
        <v/>
      </c>
      <c r="P94" s="4">
        <f>IF(L94=0,100,O94/L94*100)</f>
        <v/>
      </c>
      <c r="Q94" s="7" t="inlineStr">
        <is>
          <t>PRIORITAS</t>
        </is>
      </c>
    </row>
    <row r="95">
      <c r="B95" s="4" t="n">
        <v>88</v>
      </c>
      <c r="C95" s="5" t="inlineStr">
        <is>
          <t>Syahril Sidik</t>
        </is>
      </c>
      <c r="D95" s="6" t="inlineStr">
        <is>
          <t>520523050009</t>
        </is>
      </c>
      <c r="E95" s="5" t="inlineStr">
        <is>
          <t>MIRJAN ALHALIK</t>
        </is>
      </c>
      <c r="F95" s="6" t="inlineStr">
        <is>
          <t>520522100132</t>
        </is>
      </c>
      <c r="G95" s="4" t="inlineStr">
        <is>
          <t>051</t>
        </is>
      </c>
      <c r="H95" s="4" t="inlineStr">
        <is>
          <t>002</t>
        </is>
      </c>
      <c r="I95" s="4" t="inlineStr">
        <is>
          <t>100700</t>
        </is>
      </c>
      <c r="J95" s="4" t="n">
        <v>0</v>
      </c>
      <c r="K95" s="4" t="n">
        <v>0</v>
      </c>
      <c r="L95" s="4">
        <f>J95+K95</f>
        <v/>
      </c>
      <c r="M95" s="4" t="n">
        <v>0</v>
      </c>
      <c r="N95" s="4" t="n">
        <v>0</v>
      </c>
      <c r="O95" s="4">
        <f>M95+N95</f>
        <v/>
      </c>
      <c r="P95" s="4">
        <f>IF(L95=0,100,O95/L95*100)</f>
        <v/>
      </c>
      <c r="Q95" s="7" t="inlineStr">
        <is>
          <t>PRIORITAS</t>
        </is>
      </c>
    </row>
    <row r="96">
      <c r="B96" s="8" t="n">
        <v>89</v>
      </c>
      <c r="C96" s="9" t="inlineStr">
        <is>
          <t>Syahril Sidik</t>
        </is>
      </c>
      <c r="D96" s="10" t="inlineStr">
        <is>
          <t>520523050009</t>
        </is>
      </c>
      <c r="E96" s="9" t="inlineStr">
        <is>
          <t>MIRJAN ALHALIK</t>
        </is>
      </c>
      <c r="F96" s="10" t="inlineStr">
        <is>
          <t>520522100132</t>
        </is>
      </c>
      <c r="G96" s="8" t="inlineStr">
        <is>
          <t>051</t>
        </is>
      </c>
      <c r="H96" s="8" t="inlineStr">
        <is>
          <t>002</t>
        </is>
      </c>
      <c r="I96" s="8" t="inlineStr">
        <is>
          <t>200800</t>
        </is>
      </c>
      <c r="J96" s="8" t="n">
        <v>0</v>
      </c>
      <c r="K96" s="8" t="n">
        <v>1</v>
      </c>
      <c r="L96" s="8">
        <f>J96+K96</f>
        <v/>
      </c>
      <c r="M96" s="8" t="n">
        <v>0</v>
      </c>
      <c r="N96" s="8" t="n">
        <v>0</v>
      </c>
      <c r="O96" s="8">
        <f>M96+N96</f>
        <v/>
      </c>
      <c r="P96" s="8">
        <f>IF(L96=0,100,O96/L96*100)</f>
        <v/>
      </c>
      <c r="Q96" s="11" t="inlineStr"/>
    </row>
    <row r="97">
      <c r="B97" s="8" t="n">
        <v>90</v>
      </c>
      <c r="C97" s="9" t="inlineStr">
        <is>
          <t>TAUFIKURRAMADHAN</t>
        </is>
      </c>
      <c r="D97" s="10" t="inlineStr">
        <is>
          <t>520522030011</t>
        </is>
      </c>
      <c r="E97" s="9" t="inlineStr">
        <is>
          <t>EKO ANSHARI</t>
        </is>
      </c>
      <c r="F97" s="10" t="inlineStr">
        <is>
          <t>520522030017</t>
        </is>
      </c>
      <c r="G97" s="8" t="inlineStr">
        <is>
          <t>020</t>
        </is>
      </c>
      <c r="H97" s="8" t="inlineStr">
        <is>
          <t>013</t>
        </is>
      </c>
      <c r="I97" s="8" t="inlineStr">
        <is>
          <t>000100</t>
        </is>
      </c>
      <c r="J97" s="8" t="n">
        <v>57</v>
      </c>
      <c r="K97" s="8" t="n">
        <v>19</v>
      </c>
      <c r="L97" s="8">
        <f>J97+K97</f>
        <v/>
      </c>
      <c r="M97" s="8" t="n">
        <v>0</v>
      </c>
      <c r="N97" s="8" t="n">
        <v>1</v>
      </c>
      <c r="O97" s="8">
        <f>M97+N97</f>
        <v/>
      </c>
      <c r="P97" s="8">
        <f>IF(L97=0,100,O97/L97*100)</f>
        <v/>
      </c>
      <c r="Q97" s="11" t="inlineStr"/>
    </row>
    <row r="98">
      <c r="B98" s="4" t="n">
        <v>91</v>
      </c>
      <c r="C98" s="5" t="inlineStr">
        <is>
          <t>TAUFIKURRAMADHAN</t>
        </is>
      </c>
      <c r="D98" s="6" t="inlineStr">
        <is>
          <t>520522030011</t>
        </is>
      </c>
      <c r="E98" s="5" t="inlineStr">
        <is>
          <t>EKO ANSHARI</t>
        </is>
      </c>
      <c r="F98" s="6" t="inlineStr">
        <is>
          <t>520522030017</t>
        </is>
      </c>
      <c r="G98" s="4" t="inlineStr">
        <is>
          <t>020</t>
        </is>
      </c>
      <c r="H98" s="4" t="inlineStr">
        <is>
          <t>013</t>
        </is>
      </c>
      <c r="I98" s="4" t="inlineStr">
        <is>
          <t>000200</t>
        </is>
      </c>
      <c r="J98" s="4" t="n">
        <v>115</v>
      </c>
      <c r="K98" s="4" t="n">
        <v>35</v>
      </c>
      <c r="L98" s="4">
        <f>J98+K98</f>
        <v/>
      </c>
      <c r="M98" s="4" t="n">
        <v>108</v>
      </c>
      <c r="N98" s="4" t="n">
        <v>30</v>
      </c>
      <c r="O98" s="4">
        <f>M98+N98</f>
        <v/>
      </c>
      <c r="P98" s="4">
        <f>IF(L98=0,100,O98/L98*100)</f>
        <v/>
      </c>
      <c r="Q98" s="7" t="inlineStr">
        <is>
          <t>PRIORITAS</t>
        </is>
      </c>
    </row>
    <row r="99">
      <c r="B99" s="4" t="n">
        <v>92</v>
      </c>
      <c r="C99" s="5" t="inlineStr">
        <is>
          <t>TAUFIKURRAMADHAN</t>
        </is>
      </c>
      <c r="D99" s="6" t="inlineStr">
        <is>
          <t>520522030011</t>
        </is>
      </c>
      <c r="E99" s="5" t="inlineStr">
        <is>
          <t>EKO ANSHARI</t>
        </is>
      </c>
      <c r="F99" s="6" t="inlineStr">
        <is>
          <t>520522030017</t>
        </is>
      </c>
      <c r="G99" s="4" t="inlineStr">
        <is>
          <t>020</t>
        </is>
      </c>
      <c r="H99" s="4" t="inlineStr">
        <is>
          <t>013</t>
        </is>
      </c>
      <c r="I99" s="4" t="inlineStr">
        <is>
          <t>000300</t>
        </is>
      </c>
      <c r="J99" s="4" t="n">
        <v>54</v>
      </c>
      <c r="K99" s="4" t="n">
        <v>24</v>
      </c>
      <c r="L99" s="4">
        <f>J99+K99</f>
        <v/>
      </c>
      <c r="M99" s="4" t="n">
        <v>56</v>
      </c>
      <c r="N99" s="4" t="n">
        <v>11</v>
      </c>
      <c r="O99" s="4">
        <f>M99+N99</f>
        <v/>
      </c>
      <c r="P99" s="4">
        <f>IF(L99=0,100,O99/L99*100)</f>
        <v/>
      </c>
      <c r="Q99" s="7" t="inlineStr">
        <is>
          <t>PRIORITAS</t>
        </is>
      </c>
    </row>
    <row r="100">
      <c r="B100" s="8" t="n">
        <v>93</v>
      </c>
      <c r="C100" s="9" t="inlineStr">
        <is>
          <t>TAUFIKURRAMADHAN</t>
        </is>
      </c>
      <c r="D100" s="10" t="inlineStr">
        <is>
          <t>520522030011</t>
        </is>
      </c>
      <c r="E100" s="9" t="inlineStr">
        <is>
          <t>EKO ANSHARI</t>
        </is>
      </c>
      <c r="F100" s="10" t="inlineStr">
        <is>
          <t>520522030017</t>
        </is>
      </c>
      <c r="G100" s="8" t="inlineStr">
        <is>
          <t>020</t>
        </is>
      </c>
      <c r="H100" s="8" t="inlineStr">
        <is>
          <t>013</t>
        </is>
      </c>
      <c r="I100" s="8" t="inlineStr">
        <is>
          <t>000400</t>
        </is>
      </c>
      <c r="J100" s="8" t="n">
        <v>58</v>
      </c>
      <c r="K100" s="8" t="n">
        <v>14</v>
      </c>
      <c r="L100" s="8">
        <f>J100+K100</f>
        <v/>
      </c>
      <c r="M100" s="8" t="n">
        <v>10</v>
      </c>
      <c r="N100" s="8" t="n">
        <v>0</v>
      </c>
      <c r="O100" s="8">
        <f>M100+N100</f>
        <v/>
      </c>
      <c r="P100" s="8">
        <f>IF(L100=0,100,O100/L100*100)</f>
        <v/>
      </c>
      <c r="Q100" s="11" t="inlineStr"/>
    </row>
    <row r="101">
      <c r="B101" s="8" t="n">
        <v>94</v>
      </c>
      <c r="C101" s="9" t="inlineStr">
        <is>
          <t>TAUFIKURRAMADHAN</t>
        </is>
      </c>
      <c r="D101" s="10" t="inlineStr">
        <is>
          <t>520522030011</t>
        </is>
      </c>
      <c r="E101" s="9" t="inlineStr">
        <is>
          <t>EKO ANSHARI</t>
        </is>
      </c>
      <c r="F101" s="10" t="inlineStr">
        <is>
          <t>520522030017</t>
        </is>
      </c>
      <c r="G101" s="8" t="inlineStr">
        <is>
          <t>020</t>
        </is>
      </c>
      <c r="H101" s="8" t="inlineStr">
        <is>
          <t>013</t>
        </is>
      </c>
      <c r="I101" s="8" t="inlineStr">
        <is>
          <t>000600</t>
        </is>
      </c>
      <c r="J101" s="8" t="n">
        <v>48</v>
      </c>
      <c r="K101" s="8" t="n">
        <v>12</v>
      </c>
      <c r="L101" s="8">
        <f>J101+K101</f>
        <v/>
      </c>
      <c r="M101" s="8" t="n">
        <v>0</v>
      </c>
      <c r="N101" s="8" t="n">
        <v>0</v>
      </c>
      <c r="O101" s="8">
        <f>M101+N101</f>
        <v/>
      </c>
      <c r="P101" s="8">
        <f>IF(L101=0,100,O101/L101*100)</f>
        <v/>
      </c>
      <c r="Q101" s="11" t="inlineStr"/>
    </row>
    <row r="102">
      <c r="B102" s="4" t="n">
        <v>95</v>
      </c>
      <c r="C102" s="5" t="inlineStr">
        <is>
          <t>TAUFIKURRAMADHAN</t>
        </is>
      </c>
      <c r="D102" s="6" t="inlineStr">
        <is>
          <t>520522030011</t>
        </is>
      </c>
      <c r="E102" s="5" t="inlineStr">
        <is>
          <t>EKO ANSHARI</t>
        </is>
      </c>
      <c r="F102" s="6" t="inlineStr">
        <is>
          <t>520522030017</t>
        </is>
      </c>
      <c r="G102" s="4" t="inlineStr">
        <is>
          <t>020</t>
        </is>
      </c>
      <c r="H102" s="4" t="inlineStr">
        <is>
          <t>013</t>
        </is>
      </c>
      <c r="I102" s="4" t="inlineStr">
        <is>
          <t>000700</t>
        </is>
      </c>
      <c r="J102" s="4" t="n">
        <v>101</v>
      </c>
      <c r="K102" s="4" t="n">
        <v>61</v>
      </c>
      <c r="L102" s="4">
        <f>J102+K102</f>
        <v/>
      </c>
      <c r="M102" s="4" t="n">
        <v>102</v>
      </c>
      <c r="N102" s="4" t="n">
        <v>54</v>
      </c>
      <c r="O102" s="4">
        <f>M102+N102</f>
        <v/>
      </c>
      <c r="P102" s="4">
        <f>IF(L102=0,100,O102/L102*100)</f>
        <v/>
      </c>
      <c r="Q102" s="7" t="inlineStr">
        <is>
          <t>PRIORITAS</t>
        </is>
      </c>
    </row>
    <row r="103">
      <c r="B103" s="8" t="n">
        <v>96</v>
      </c>
      <c r="C103" s="9" t="inlineStr">
        <is>
          <t>TAUFIKURRAMADHAN</t>
        </is>
      </c>
      <c r="D103" s="10" t="inlineStr">
        <is>
          <t>520522030011</t>
        </is>
      </c>
      <c r="E103" s="9" t="inlineStr">
        <is>
          <t>Nurul Khotimah</t>
        </is>
      </c>
      <c r="F103" s="10" t="inlineStr">
        <is>
          <t>520523060005</t>
        </is>
      </c>
      <c r="G103" s="8" t="inlineStr">
        <is>
          <t>020</t>
        </is>
      </c>
      <c r="H103" s="8" t="inlineStr">
        <is>
          <t>007</t>
        </is>
      </c>
      <c r="I103" s="8" t="inlineStr">
        <is>
          <t>000500</t>
        </is>
      </c>
      <c r="J103" s="8" t="n">
        <v>44</v>
      </c>
      <c r="K103" s="8" t="n">
        <v>44</v>
      </c>
      <c r="L103" s="8">
        <f>J103+K103</f>
        <v/>
      </c>
      <c r="M103" s="8" t="n">
        <v>1</v>
      </c>
      <c r="N103" s="8" t="n">
        <v>14</v>
      </c>
      <c r="O103" s="8">
        <f>M103+N103</f>
        <v/>
      </c>
      <c r="P103" s="8">
        <f>IF(L103=0,100,O103/L103*100)</f>
        <v/>
      </c>
      <c r="Q103" s="11" t="inlineStr"/>
    </row>
    <row r="104">
      <c r="B104" s="8" t="n">
        <v>97</v>
      </c>
      <c r="C104" s="9" t="inlineStr">
        <is>
          <t>TAUFIKURRAMADHAN</t>
        </is>
      </c>
      <c r="D104" s="10" t="inlineStr">
        <is>
          <t>520522030011</t>
        </is>
      </c>
      <c r="E104" s="9" t="inlineStr">
        <is>
          <t>Nurul Khotimah</t>
        </is>
      </c>
      <c r="F104" s="10" t="inlineStr">
        <is>
          <t>520523060005</t>
        </is>
      </c>
      <c r="G104" s="8" t="inlineStr">
        <is>
          <t>020</t>
        </is>
      </c>
      <c r="H104" s="8" t="inlineStr">
        <is>
          <t>007</t>
        </is>
      </c>
      <c r="I104" s="8" t="inlineStr">
        <is>
          <t>000600</t>
        </is>
      </c>
      <c r="J104" s="8" t="n">
        <v>44</v>
      </c>
      <c r="K104" s="8" t="n">
        <v>69</v>
      </c>
      <c r="L104" s="8">
        <f>J104+K104</f>
        <v/>
      </c>
      <c r="M104" s="8" t="n">
        <v>5</v>
      </c>
      <c r="N104" s="8" t="n">
        <v>27</v>
      </c>
      <c r="O104" s="8">
        <f>M104+N104</f>
        <v/>
      </c>
      <c r="P104" s="8">
        <f>IF(L104=0,100,O104/L104*100)</f>
        <v/>
      </c>
      <c r="Q104" s="11" t="inlineStr"/>
    </row>
    <row r="105">
      <c r="B105" s="4" t="n">
        <v>98</v>
      </c>
      <c r="C105" s="5" t="inlineStr">
        <is>
          <t>TAUFIKURRAMADHAN</t>
        </is>
      </c>
      <c r="D105" s="6" t="inlineStr">
        <is>
          <t>520522030011</t>
        </is>
      </c>
      <c r="E105" s="5" t="inlineStr">
        <is>
          <t>Nurul Khotimah</t>
        </is>
      </c>
      <c r="F105" s="6" t="inlineStr">
        <is>
          <t>520523060005</t>
        </is>
      </c>
      <c r="G105" s="4" t="inlineStr">
        <is>
          <t>020</t>
        </is>
      </c>
      <c r="H105" s="4" t="inlineStr">
        <is>
          <t>007</t>
        </is>
      </c>
      <c r="I105" s="4" t="inlineStr">
        <is>
          <t>000700</t>
        </is>
      </c>
      <c r="J105" s="4" t="n">
        <v>19</v>
      </c>
      <c r="K105" s="4" t="n">
        <v>79</v>
      </c>
      <c r="L105" s="4">
        <f>J105+K105</f>
        <v/>
      </c>
      <c r="M105" s="4" t="n">
        <v>39</v>
      </c>
      <c r="N105" s="4" t="n">
        <v>83</v>
      </c>
      <c r="O105" s="4">
        <f>M105+N105</f>
        <v/>
      </c>
      <c r="P105" s="4">
        <f>IF(L105=0,100,O105/L105*100)</f>
        <v/>
      </c>
      <c r="Q105" s="7" t="inlineStr">
        <is>
          <t>PRIORITAS</t>
        </is>
      </c>
    </row>
    <row r="106">
      <c r="B106" s="4" t="n">
        <v>99</v>
      </c>
      <c r="C106" s="5" t="inlineStr">
        <is>
          <t>TAUFIKURRAMADHAN</t>
        </is>
      </c>
      <c r="D106" s="6" t="inlineStr">
        <is>
          <t>520522030011</t>
        </is>
      </c>
      <c r="E106" s="5" t="inlineStr">
        <is>
          <t>Nurul Khotimah</t>
        </is>
      </c>
      <c r="F106" s="6" t="inlineStr">
        <is>
          <t>520523060005</t>
        </is>
      </c>
      <c r="G106" s="4" t="inlineStr">
        <is>
          <t>020</t>
        </is>
      </c>
      <c r="H106" s="4" t="inlineStr">
        <is>
          <t>008</t>
        </is>
      </c>
      <c r="I106" s="4" t="inlineStr">
        <is>
          <t>001400</t>
        </is>
      </c>
      <c r="J106" s="4" t="n">
        <v>130</v>
      </c>
      <c r="K106" s="4" t="n">
        <v>78</v>
      </c>
      <c r="L106" s="4">
        <f>J106+K106</f>
        <v/>
      </c>
      <c r="M106" s="4" t="n">
        <v>142</v>
      </c>
      <c r="N106" s="4" t="n">
        <v>55</v>
      </c>
      <c r="O106" s="4">
        <f>M106+N106</f>
        <v/>
      </c>
      <c r="P106" s="4">
        <f>IF(L106=0,100,O106/L106*100)</f>
        <v/>
      </c>
      <c r="Q106" s="7" t="inlineStr">
        <is>
          <t>PRIORITAS</t>
        </is>
      </c>
    </row>
    <row r="107">
      <c r="B107" s="4" t="n">
        <v>100</v>
      </c>
      <c r="C107" s="5" t="inlineStr">
        <is>
          <t>TAUFIKURRAMADHAN</t>
        </is>
      </c>
      <c r="D107" s="6" t="inlineStr">
        <is>
          <t>520522030011</t>
        </is>
      </c>
      <c r="E107" s="5" t="inlineStr">
        <is>
          <t>Nurul Khotimah</t>
        </is>
      </c>
      <c r="F107" s="6" t="inlineStr">
        <is>
          <t>520523060005</t>
        </is>
      </c>
      <c r="G107" s="4" t="inlineStr">
        <is>
          <t>020</t>
        </is>
      </c>
      <c r="H107" s="4" t="inlineStr">
        <is>
          <t>011</t>
        </is>
      </c>
      <c r="I107" s="4" t="inlineStr">
        <is>
          <t>000200</t>
        </is>
      </c>
      <c r="J107" s="4" t="n">
        <v>46</v>
      </c>
      <c r="K107" s="4" t="n">
        <v>2</v>
      </c>
      <c r="L107" s="4">
        <f>J107+K107</f>
        <v/>
      </c>
      <c r="M107" s="4" t="n">
        <v>49</v>
      </c>
      <c r="N107" s="4" t="n">
        <v>0</v>
      </c>
      <c r="O107" s="4">
        <f>M107+N107</f>
        <v/>
      </c>
      <c r="P107" s="4">
        <f>IF(L107=0,100,O107/L107*100)</f>
        <v/>
      </c>
      <c r="Q107" s="7" t="inlineStr">
        <is>
          <t>PRIORITAS</t>
        </is>
      </c>
    </row>
    <row r="108">
      <c r="B108" s="8" t="n">
        <v>101</v>
      </c>
      <c r="C108" s="9" t="inlineStr">
        <is>
          <t>TAUFIKURRAMADHAN</t>
        </is>
      </c>
      <c r="D108" s="10" t="inlineStr">
        <is>
          <t>520522030011</t>
        </is>
      </c>
      <c r="E108" s="9" t="inlineStr">
        <is>
          <t>Nurul Khotimah</t>
        </is>
      </c>
      <c r="F108" s="10" t="inlineStr">
        <is>
          <t>520523060005</t>
        </is>
      </c>
      <c r="G108" s="8" t="inlineStr">
        <is>
          <t>020</t>
        </is>
      </c>
      <c r="H108" s="8" t="inlineStr">
        <is>
          <t>011</t>
        </is>
      </c>
      <c r="I108" s="8" t="inlineStr">
        <is>
          <t>000800</t>
        </is>
      </c>
      <c r="J108" s="8" t="n">
        <v>40</v>
      </c>
      <c r="K108" s="8" t="n">
        <v>11</v>
      </c>
      <c r="L108" s="8">
        <f>J108+K108</f>
        <v/>
      </c>
      <c r="M108" s="8" t="n">
        <v>1</v>
      </c>
      <c r="N108" s="8" t="n">
        <v>0</v>
      </c>
      <c r="O108" s="8">
        <f>M108+N108</f>
        <v/>
      </c>
      <c r="P108" s="8">
        <f>IF(L108=0,100,O108/L108*100)</f>
        <v/>
      </c>
      <c r="Q108" s="11" t="inlineStr"/>
    </row>
    <row r="109">
      <c r="B109" s="8" t="n">
        <v>102</v>
      </c>
      <c r="C109" s="9" t="inlineStr">
        <is>
          <t>YUSUF</t>
        </is>
      </c>
      <c r="D109" s="10" t="inlineStr">
        <is>
          <t>520522030006</t>
        </is>
      </c>
      <c r="E109" s="9" t="inlineStr">
        <is>
          <t>SRI SUSANTI</t>
        </is>
      </c>
      <c r="F109" s="10" t="inlineStr">
        <is>
          <t>520525110028</t>
        </is>
      </c>
      <c r="G109" s="8" t="inlineStr">
        <is>
          <t>030</t>
        </is>
      </c>
      <c r="H109" s="8" t="inlineStr">
        <is>
          <t>002</t>
        </is>
      </c>
      <c r="I109" s="8" t="inlineStr">
        <is>
          <t>000300</t>
        </is>
      </c>
      <c r="J109" s="8" t="n">
        <v>76</v>
      </c>
      <c r="K109" s="8" t="n">
        <v>22</v>
      </c>
      <c r="L109" s="8">
        <f>J109+K109</f>
        <v/>
      </c>
      <c r="M109" s="8" t="n">
        <v>0</v>
      </c>
      <c r="N109" s="8" t="n">
        <v>1</v>
      </c>
      <c r="O109" s="8">
        <f>M109+N109</f>
        <v/>
      </c>
      <c r="P109" s="8">
        <f>IF(L109=0,100,O109/L109*100)</f>
        <v/>
      </c>
      <c r="Q109" s="11" t="inlineStr"/>
    </row>
    <row r="110">
      <c r="B110" s="4" t="n">
        <v>103</v>
      </c>
      <c r="C110" s="5" t="inlineStr">
        <is>
          <t>YUSUF</t>
        </is>
      </c>
      <c r="D110" s="6" t="inlineStr">
        <is>
          <t>520522030006</t>
        </is>
      </c>
      <c r="E110" s="5" t="inlineStr">
        <is>
          <t>SRI SUSANTI</t>
        </is>
      </c>
      <c r="F110" s="6" t="inlineStr">
        <is>
          <t>520525110028</t>
        </is>
      </c>
      <c r="G110" s="4" t="inlineStr">
        <is>
          <t>030</t>
        </is>
      </c>
      <c r="H110" s="4" t="inlineStr">
        <is>
          <t>003</t>
        </is>
      </c>
      <c r="I110" s="4" t="inlineStr">
        <is>
          <t>001900</t>
        </is>
      </c>
      <c r="J110" s="4" t="n">
        <v>63</v>
      </c>
      <c r="K110" s="4" t="n">
        <v>56</v>
      </c>
      <c r="L110" s="4">
        <f>J110+K110</f>
        <v/>
      </c>
      <c r="M110" s="4" t="n">
        <v>102</v>
      </c>
      <c r="N110" s="4" t="n">
        <v>59</v>
      </c>
      <c r="O110" s="4">
        <f>M110+N110</f>
        <v/>
      </c>
      <c r="P110" s="4">
        <f>IF(L110=0,100,O110/L110*100)</f>
        <v/>
      </c>
      <c r="Q110" s="7" t="inlineStr">
        <is>
          <t>PRIORITAS</t>
        </is>
      </c>
    </row>
    <row r="111">
      <c r="B111" s="8" t="n">
        <v>104</v>
      </c>
      <c r="C111" s="9" t="inlineStr">
        <is>
          <t>YUSUF</t>
        </is>
      </c>
      <c r="D111" s="10" t="inlineStr">
        <is>
          <t>520522030006</t>
        </is>
      </c>
      <c r="E111" s="9" t="inlineStr">
        <is>
          <t>SRI SUSANTI</t>
        </is>
      </c>
      <c r="F111" s="10" t="inlineStr">
        <is>
          <t>520525110028</t>
        </is>
      </c>
      <c r="G111" s="8" t="inlineStr">
        <is>
          <t>030</t>
        </is>
      </c>
      <c r="H111" s="8" t="inlineStr">
        <is>
          <t>013</t>
        </is>
      </c>
      <c r="I111" s="8" t="inlineStr">
        <is>
          <t>000100</t>
        </is>
      </c>
      <c r="J111" s="8" t="n">
        <v>52</v>
      </c>
      <c r="K111" s="8" t="n">
        <v>11</v>
      </c>
      <c r="L111" s="8">
        <f>J111+K111</f>
        <v/>
      </c>
      <c r="M111" s="8" t="n">
        <v>0</v>
      </c>
      <c r="N111" s="8" t="n">
        <v>0</v>
      </c>
      <c r="O111" s="8">
        <f>M111+N111</f>
        <v/>
      </c>
      <c r="P111" s="8">
        <f>IF(L111=0,100,O111/L111*100)</f>
        <v/>
      </c>
      <c r="Q111" s="11" t="inlineStr"/>
    </row>
    <row r="112">
      <c r="B112" s="8" t="n">
        <v>105</v>
      </c>
      <c r="C112" s="9" t="inlineStr">
        <is>
          <t>YUSUF</t>
        </is>
      </c>
      <c r="D112" s="10" t="inlineStr">
        <is>
          <t>520522030006</t>
        </is>
      </c>
      <c r="E112" s="9" t="inlineStr">
        <is>
          <t>SRI SUSANTI</t>
        </is>
      </c>
      <c r="F112" s="10" t="inlineStr">
        <is>
          <t>520525110028</t>
        </is>
      </c>
      <c r="G112" s="8" t="inlineStr">
        <is>
          <t>030</t>
        </is>
      </c>
      <c r="H112" s="8" t="inlineStr">
        <is>
          <t>013</t>
        </is>
      </c>
      <c r="I112" s="8" t="inlineStr">
        <is>
          <t>000900</t>
        </is>
      </c>
      <c r="J112" s="8" t="n">
        <v>56</v>
      </c>
      <c r="K112" s="8" t="n">
        <v>10</v>
      </c>
      <c r="L112" s="8">
        <f>J112+K112</f>
        <v/>
      </c>
      <c r="M112" s="8" t="n">
        <v>0</v>
      </c>
      <c r="N112" s="8" t="n">
        <v>0</v>
      </c>
      <c r="O112" s="8">
        <f>M112+N112</f>
        <v/>
      </c>
      <c r="P112" s="8">
        <f>IF(L112=0,100,O112/L112*100)</f>
        <v/>
      </c>
      <c r="Q112" s="11" t="inlineStr"/>
    </row>
    <row r="113">
      <c r="B113" s="4" t="n">
        <v>106</v>
      </c>
      <c r="C113" s="5" t="inlineStr">
        <is>
          <t>YUSUF</t>
        </is>
      </c>
      <c r="D113" s="6" t="inlineStr">
        <is>
          <t>520522030006</t>
        </is>
      </c>
      <c r="E113" s="5" t="inlineStr">
        <is>
          <t>SRI SUSANTI</t>
        </is>
      </c>
      <c r="F113" s="6" t="inlineStr">
        <is>
          <t>520525110028</t>
        </is>
      </c>
      <c r="G113" s="4" t="inlineStr">
        <is>
          <t>030</t>
        </is>
      </c>
      <c r="H113" s="4" t="inlineStr">
        <is>
          <t>013</t>
        </is>
      </c>
      <c r="I113" s="4" t="inlineStr">
        <is>
          <t>001200</t>
        </is>
      </c>
      <c r="J113" s="4" t="n">
        <v>34</v>
      </c>
      <c r="K113" s="4" t="n">
        <v>57</v>
      </c>
      <c r="L113" s="4">
        <f>J113+K113</f>
        <v/>
      </c>
      <c r="M113" s="4" t="n">
        <v>51</v>
      </c>
      <c r="N113" s="4" t="n">
        <v>48</v>
      </c>
      <c r="O113" s="4">
        <f>M113+N113</f>
        <v/>
      </c>
      <c r="P113" s="4">
        <f>IF(L113=0,100,O113/L113*100)</f>
        <v/>
      </c>
      <c r="Q113" s="7" t="inlineStr">
        <is>
          <t>PRIORITAS</t>
        </is>
      </c>
    </row>
    <row r="114">
      <c r="B114" s="8" t="n">
        <v>107</v>
      </c>
      <c r="C114" s="9" t="inlineStr">
        <is>
          <t>YUSUF</t>
        </is>
      </c>
      <c r="D114" s="10" t="inlineStr">
        <is>
          <t>520522030006</t>
        </is>
      </c>
      <c r="E114" s="9" t="inlineStr">
        <is>
          <t>SRI SUSANTI</t>
        </is>
      </c>
      <c r="F114" s="10" t="inlineStr">
        <is>
          <t>520525110028</t>
        </is>
      </c>
      <c r="G114" s="8" t="inlineStr">
        <is>
          <t>030</t>
        </is>
      </c>
      <c r="H114" s="8" t="inlineStr">
        <is>
          <t>014</t>
        </is>
      </c>
      <c r="I114" s="8" t="inlineStr">
        <is>
          <t>000100</t>
        </is>
      </c>
      <c r="J114" s="8" t="n">
        <v>68</v>
      </c>
      <c r="K114" s="8" t="n">
        <v>9</v>
      </c>
      <c r="L114" s="8">
        <f>J114+K114</f>
        <v/>
      </c>
      <c r="M114" s="8" t="n">
        <v>0</v>
      </c>
      <c r="N114" s="8" t="n">
        <v>0</v>
      </c>
      <c r="O114" s="8">
        <f>M114+N114</f>
        <v/>
      </c>
      <c r="P114" s="8">
        <f>IF(L114=0,100,O114/L114*100)</f>
        <v/>
      </c>
      <c r="Q114" s="11" t="inlineStr"/>
    </row>
    <row r="115">
      <c r="B115" s="4" t="n">
        <v>108</v>
      </c>
      <c r="C115" s="5" t="inlineStr">
        <is>
          <t>YUSUF</t>
        </is>
      </c>
      <c r="D115" s="6" t="inlineStr">
        <is>
          <t>520522030006</t>
        </is>
      </c>
      <c r="E115" s="5" t="inlineStr">
        <is>
          <t>SRI SUSANTI</t>
        </is>
      </c>
      <c r="F115" s="6" t="inlineStr">
        <is>
          <t>520525110028</t>
        </is>
      </c>
      <c r="G115" s="4" t="inlineStr">
        <is>
          <t>030</t>
        </is>
      </c>
      <c r="H115" s="4" t="inlineStr">
        <is>
          <t>014</t>
        </is>
      </c>
      <c r="I115" s="4" t="inlineStr">
        <is>
          <t>001000</t>
        </is>
      </c>
      <c r="J115" s="4" t="n">
        <v>70</v>
      </c>
      <c r="K115" s="4" t="n">
        <v>17</v>
      </c>
      <c r="L115" s="4">
        <f>J115+K115</f>
        <v/>
      </c>
      <c r="M115" s="4" t="n">
        <v>96</v>
      </c>
      <c r="N115" s="4" t="n">
        <v>15</v>
      </c>
      <c r="O115" s="4">
        <f>M115+N115</f>
        <v/>
      </c>
      <c r="P115" s="4">
        <f>IF(L115=0,100,O115/L115*100)</f>
        <v/>
      </c>
      <c r="Q115" s="7" t="inlineStr">
        <is>
          <t>PRIORITAS</t>
        </is>
      </c>
    </row>
    <row r="116">
      <c r="B116" s="12" t="inlineStr">
        <is>
          <t>Jumlah</t>
        </is>
      </c>
      <c r="C116" s="13" t="n"/>
      <c r="D116" s="13" t="n"/>
      <c r="E116" s="13" t="n"/>
      <c r="F116" s="13" t="n"/>
      <c r="G116" s="13" t="n"/>
      <c r="H116" s="13" t="n"/>
      <c r="I116" s="14" t="n"/>
      <c r="J116" s="15">
        <f>SUM(J8:J115)</f>
        <v/>
      </c>
      <c r="K116" s="15">
        <f>SUM(K8:K115)</f>
        <v/>
      </c>
      <c r="L116" s="12">
        <f>SUM(L8:L115)</f>
        <v/>
      </c>
      <c r="M116" s="15">
        <f>SUM(M8:M115)</f>
        <v/>
      </c>
      <c r="N116" s="15">
        <f>SUM(N8:N115)</f>
        <v/>
      </c>
      <c r="O116" s="12">
        <f>SUM(O8:O115)</f>
        <v/>
      </c>
      <c r="P116" s="12">
        <f>IF(L116=0,100,O116/L116*100)</f>
        <v/>
      </c>
      <c r="Q116" s="10" t="inlineStr"/>
    </row>
    <row r="117"/>
    <row r="118">
      <c r="B118" s="16" t="inlineStr">
        <is>
          <t>Keterangan:</t>
        </is>
      </c>
    </row>
    <row r="119">
      <c r="B119" s="17" t="inlineStr">
        <is>
          <t>*) Target Usaha = Jumlah Usaha Prelist Awal BKU (kode sintetis 90002 = UB+UM+UMK Prelist Awal, kode 108+109+110 Dashboard SE2026).</t>
        </is>
      </c>
    </row>
    <row r="120">
      <c r="B120" s="17" t="inlineStr">
        <is>
          <t>*) Target Keluarga = Jumlah Keluarga Prelist Awal (kode indikator 14 Dashboard SE2026).</t>
        </is>
      </c>
    </row>
    <row r="121">
      <c r="B121" s="17" t="inlineStr">
        <is>
          <t>*) Realisasi Usaha = HANYA Usaha BKU/mandiri (Tidak Ditemukan+Ditemukan+Ditutup+Ganda+Baru, kode 10247/10264/10265/10266/10268). Usaha dalam Keluarga TIDAK diikutkan.</t>
        </is>
      </c>
    </row>
    <row r="122">
      <c r="B122" s="17" t="inlineStr">
        <is>
          <t>*) Realisasi Keluarga = seluruh keluarga yang sudah diproses (Ditemukan+Meninggal+Tidak Eligible+Tidak Dapat Ditemui+Tidak Ditemukan+Baru+Menolak Didata+Bersedia Didata+Keluarga Khusus).</t>
        </is>
      </c>
    </row>
    <row r="123">
      <c r="B123" s="17" t="inlineStr">
        <is>
          <t>*) Kolom 'ID Sobat' diisi ID/username sistem (belum ada data username email SOBAT resmi).</t>
        </is>
      </c>
    </row>
    <row r="124">
      <c r="B124" s="17" t="inlineStr">
        <is>
          <t>*) Baris berlatar KUNING = SLS PRIORITAS (49 dari 108 baris di rekap ini), sesuai kolom sls.prioritas di database.</t>
        </is>
      </c>
    </row>
    <row r="125">
      <c r="B125" s="17" t="inlineStr">
        <is>
          <t>*) Kolom Keluarga &amp; Usaha di baris 'Jumlah' (Target maupun Realisasi) dibuat hitam solid (nilai tetap ada di formula, cuma disembunyikan visualnya).</t>
        </is>
      </c>
    </row>
    <row r="126">
      <c r="B126" s="17" t="inlineStr">
        <is>
          <t>*) Persentase: kalau Target Prelist = 0, ditampilkan 100% (bukan 0%) karena tidak ada target berarti otomatis terpenuhi.</t>
        </is>
      </c>
    </row>
    <row r="127">
      <c r="B127" s="17" t="inlineStr">
        <is>
          <t>*) LK BATCH 2 -- berisi SELURUH petugas KECUALI 208 yang sudah dibayar di batch pertama, dan kecuali 7 nama yg diminta dikecualikan (Aminullah, Ari Apriadi, Waliey, Ophiansyah, Adetya Anhar, Sarwan, Mega Lestari). Seluruh tim PML Haeruddin OTOMATIS masuk di sini krn tidak termasuk yg sudah dibayar.</t>
        </is>
      </c>
    </row>
    <row r="128">
      <c r="B128" s="17" t="inlineStr">
        <is>
          <t>*) Data ditarik dari se2026 (7).sql per 2026-07-19.</t>
        </is>
      </c>
    </row>
    <row r="129">
      <c r="B129" s="17" t="inlineStr">
        <is>
          <t>*) Sheet 'REKAP Semua PPL' = gabungan semua petugas. Sheet lain per nama petugas = detail masing-masing.</t>
        </is>
      </c>
    </row>
  </sheetData>
  <mergeCells count="13">
    <mergeCell ref="G5:G6"/>
    <mergeCell ref="P5:P6"/>
    <mergeCell ref="J5:L5"/>
    <mergeCell ref="H5:H6"/>
    <mergeCell ref="Q5:Q6"/>
    <mergeCell ref="B116:I11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1"/>
    <row r="2" ht="24" customHeight="1">
      <c r="B2" s="1" t="inlineStr">
        <is>
          <t>Beban Kerja Petugas Lapangan SE2026 - LK PPK Termin 1 (BATCH 2)</t>
        </is>
      </c>
    </row>
    <row r="3" ht="24" customHeight="1">
      <c r="B3" s="1" t="inlineStr">
        <is>
          <t>PPL: Bahril Qamar  |  PML: HAERUDDIN  |  Kab. Dompu, NTB</t>
        </is>
      </c>
    </row>
    <row r="4"/>
    <row r="5" ht="30.95" customHeight="1">
      <c r="B5" s="2" t="inlineStr">
        <is>
          <t>No</t>
        </is>
      </c>
      <c r="C5" s="2" t="inlineStr">
        <is>
          <t>PML</t>
        </is>
      </c>
      <c r="D5" s="14" t="n"/>
      <c r="E5" s="2" t="inlineStr">
        <is>
          <t>PPL</t>
        </is>
      </c>
      <c r="F5" s="14" t="n"/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K5" s="13" t="n"/>
      <c r="L5" s="14" t="n"/>
      <c r="M5" s="2" t="inlineStr">
        <is>
          <t>Realisasi</t>
        </is>
      </c>
      <c r="N5" s="13" t="n"/>
      <c r="O5" s="14" t="n"/>
      <c r="P5" s="2" t="inlineStr">
        <is>
          <t>Persentase (%)</t>
        </is>
      </c>
      <c r="Q5" s="2" t="inlineStr">
        <is>
          <t>Keterangan</t>
        </is>
      </c>
    </row>
    <row r="6" ht="20.45" customHeight="1">
      <c r="B6" s="18" t="n"/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G6" s="18" t="n"/>
      <c r="H6" s="18" t="n"/>
      <c r="I6" s="18" t="n"/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(BKU)</t>
        </is>
      </c>
      <c r="O6" s="2" t="inlineStr">
        <is>
          <t>Jumlah</t>
        </is>
      </c>
      <c r="P6" s="18" t="n"/>
      <c r="Q6" s="18" t="n"/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HAERUDDIN</t>
        </is>
      </c>
      <c r="D8" s="6" t="inlineStr">
        <is>
          <t>520522030054</t>
        </is>
      </c>
      <c r="E8" s="5" t="inlineStr">
        <is>
          <t>Bahril Qamar</t>
        </is>
      </c>
      <c r="F8" s="6" t="inlineStr">
        <is>
          <t>520522100013</t>
        </is>
      </c>
      <c r="G8" s="4" t="inlineStr">
        <is>
          <t>020</t>
        </is>
      </c>
      <c r="H8" s="4" t="inlineStr">
        <is>
          <t>016</t>
        </is>
      </c>
      <c r="I8" s="4" t="inlineStr">
        <is>
          <t>000100</t>
        </is>
      </c>
      <c r="J8" s="4" t="n">
        <v>92</v>
      </c>
      <c r="K8" s="4" t="n">
        <v>38</v>
      </c>
      <c r="L8" s="4">
        <f>J8+K8</f>
        <v/>
      </c>
      <c r="M8" s="4" t="n">
        <v>98</v>
      </c>
      <c r="N8" s="4" t="n">
        <v>37</v>
      </c>
      <c r="O8" s="4">
        <f>M8+N8</f>
        <v/>
      </c>
      <c r="P8" s="4">
        <f>IF(L8=0,100,O8/L8*100)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HAERUDDIN</t>
        </is>
      </c>
      <c r="D9" s="6" t="inlineStr">
        <is>
          <t>520522030054</t>
        </is>
      </c>
      <c r="E9" s="5" t="inlineStr">
        <is>
          <t>Bahril Qamar</t>
        </is>
      </c>
      <c r="F9" s="6" t="inlineStr">
        <is>
          <t>520522100013</t>
        </is>
      </c>
      <c r="G9" s="4" t="inlineStr">
        <is>
          <t>020</t>
        </is>
      </c>
      <c r="H9" s="4" t="inlineStr">
        <is>
          <t>016</t>
        </is>
      </c>
      <c r="I9" s="4" t="inlineStr">
        <is>
          <t>000200</t>
        </is>
      </c>
      <c r="J9" s="4" t="n">
        <v>60</v>
      </c>
      <c r="K9" s="4" t="n">
        <v>14</v>
      </c>
      <c r="L9" s="4">
        <f>J9+K9</f>
        <v/>
      </c>
      <c r="M9" s="4" t="n">
        <v>63</v>
      </c>
      <c r="N9" s="4" t="n">
        <v>12</v>
      </c>
      <c r="O9" s="4">
        <f>M9+N9</f>
        <v/>
      </c>
      <c r="P9" s="4">
        <f>IF(L9=0,100,O9/L9*100)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HAERUDDIN</t>
        </is>
      </c>
      <c r="D10" s="10" t="inlineStr">
        <is>
          <t>520522030054</t>
        </is>
      </c>
      <c r="E10" s="9" t="inlineStr">
        <is>
          <t>Bahril Qamar</t>
        </is>
      </c>
      <c r="F10" s="10" t="inlineStr">
        <is>
          <t>520522100013</t>
        </is>
      </c>
      <c r="G10" s="8" t="inlineStr">
        <is>
          <t>020</t>
        </is>
      </c>
      <c r="H10" s="8" t="inlineStr">
        <is>
          <t>016</t>
        </is>
      </c>
      <c r="I10" s="8" t="inlineStr">
        <is>
          <t>000300</t>
        </is>
      </c>
      <c r="J10" s="8" t="n">
        <v>58</v>
      </c>
      <c r="K10" s="8" t="n">
        <v>23</v>
      </c>
      <c r="L10" s="8">
        <f>J10+K10</f>
        <v/>
      </c>
      <c r="M10" s="8" t="n">
        <v>0</v>
      </c>
      <c r="N10" s="8" t="n">
        <v>0</v>
      </c>
      <c r="O10" s="8">
        <f>M10+N10</f>
        <v/>
      </c>
      <c r="P10" s="8">
        <f>IF(L10=0,100,O10/L10*100)</f>
        <v/>
      </c>
      <c r="Q10" s="11" t="inlineStr"/>
    </row>
    <row r="11">
      <c r="B11" s="8" t="n">
        <v>4</v>
      </c>
      <c r="C11" s="9" t="inlineStr">
        <is>
          <t>HAERUDDIN</t>
        </is>
      </c>
      <c r="D11" s="10" t="inlineStr">
        <is>
          <t>520522030054</t>
        </is>
      </c>
      <c r="E11" s="9" t="inlineStr">
        <is>
          <t>Bahril Qamar</t>
        </is>
      </c>
      <c r="F11" s="10" t="inlineStr">
        <is>
          <t>520522100013</t>
        </is>
      </c>
      <c r="G11" s="8" t="inlineStr">
        <is>
          <t>020</t>
        </is>
      </c>
      <c r="H11" s="8" t="inlineStr">
        <is>
          <t>016</t>
        </is>
      </c>
      <c r="I11" s="8" t="inlineStr">
        <is>
          <t>000400</t>
        </is>
      </c>
      <c r="J11" s="8" t="n">
        <v>68</v>
      </c>
      <c r="K11" s="8" t="n">
        <v>22</v>
      </c>
      <c r="L11" s="8">
        <f>J11+K11</f>
        <v/>
      </c>
      <c r="M11" s="8" t="n">
        <v>0</v>
      </c>
      <c r="N11" s="8" t="n">
        <v>0</v>
      </c>
      <c r="O11" s="8">
        <f>M11+N11</f>
        <v/>
      </c>
      <c r="P11" s="8">
        <f>IF(L11=0,100,O11/L11*100)</f>
        <v/>
      </c>
      <c r="Q11" s="11" t="inlineStr"/>
    </row>
    <row r="12">
      <c r="B12" s="4" t="n">
        <v>5</v>
      </c>
      <c r="C12" s="5" t="inlineStr">
        <is>
          <t>HAERUDDIN</t>
        </is>
      </c>
      <c r="D12" s="6" t="inlineStr">
        <is>
          <t>520522030054</t>
        </is>
      </c>
      <c r="E12" s="5" t="inlineStr">
        <is>
          <t>Bahril Qamar</t>
        </is>
      </c>
      <c r="F12" s="6" t="inlineStr">
        <is>
          <t>520522100013</t>
        </is>
      </c>
      <c r="G12" s="4" t="inlineStr">
        <is>
          <t>020</t>
        </is>
      </c>
      <c r="H12" s="4" t="inlineStr">
        <is>
          <t>016</t>
        </is>
      </c>
      <c r="I12" s="4" t="inlineStr">
        <is>
          <t>000500</t>
        </is>
      </c>
      <c r="J12" s="4" t="n">
        <v>93</v>
      </c>
      <c r="K12" s="4" t="n">
        <v>29</v>
      </c>
      <c r="L12" s="4">
        <f>J12+K12</f>
        <v/>
      </c>
      <c r="M12" s="4" t="n">
        <v>112</v>
      </c>
      <c r="N12" s="4" t="n">
        <v>27</v>
      </c>
      <c r="O12" s="4">
        <f>M12+N12</f>
        <v/>
      </c>
      <c r="P12" s="4">
        <f>IF(L12=0,100,O12/L12*100)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HAERUDDIN</t>
        </is>
      </c>
      <c r="D13" s="10" t="inlineStr">
        <is>
          <t>520522030054</t>
        </is>
      </c>
      <c r="E13" s="9" t="inlineStr">
        <is>
          <t>Bahril Qamar</t>
        </is>
      </c>
      <c r="F13" s="10" t="inlineStr">
        <is>
          <t>520522100013</t>
        </is>
      </c>
      <c r="G13" s="8" t="inlineStr">
        <is>
          <t>020</t>
        </is>
      </c>
      <c r="H13" s="8" t="inlineStr">
        <is>
          <t>016</t>
        </is>
      </c>
      <c r="I13" s="8" t="inlineStr">
        <is>
          <t>000600</t>
        </is>
      </c>
      <c r="J13" s="8" t="n">
        <v>106</v>
      </c>
      <c r="K13" s="8" t="n">
        <v>27</v>
      </c>
      <c r="L13" s="8">
        <f>J13+K13</f>
        <v/>
      </c>
      <c r="M13" s="8" t="n">
        <v>42</v>
      </c>
      <c r="N13" s="8" t="n">
        <v>1</v>
      </c>
      <c r="O13" s="8">
        <f>M13+N13</f>
        <v/>
      </c>
      <c r="P13" s="8">
        <f>IF(L13=0,100,O13/L13*100)</f>
        <v/>
      </c>
      <c r="Q13" s="11" t="inlineStr"/>
    </row>
    <row r="14">
      <c r="B14" s="8" t="n">
        <v>7</v>
      </c>
      <c r="C14" s="9" t="inlineStr">
        <is>
          <t>HAERUDDIN</t>
        </is>
      </c>
      <c r="D14" s="10" t="inlineStr">
        <is>
          <t>520522030054</t>
        </is>
      </c>
      <c r="E14" s="9" t="inlineStr">
        <is>
          <t>Bahril Qamar</t>
        </is>
      </c>
      <c r="F14" s="10" t="inlineStr">
        <is>
          <t>520522100013</t>
        </is>
      </c>
      <c r="G14" s="8" t="inlineStr">
        <is>
          <t>020</t>
        </is>
      </c>
      <c r="H14" s="8" t="inlineStr">
        <is>
          <t>016</t>
        </is>
      </c>
      <c r="I14" s="8" t="inlineStr">
        <is>
          <t>100100</t>
        </is>
      </c>
      <c r="J14" s="8" t="n">
        <v>0</v>
      </c>
      <c r="K14" s="8" t="n">
        <v>14</v>
      </c>
      <c r="L14" s="8">
        <f>J14+K14</f>
        <v/>
      </c>
      <c r="M14" s="8" t="n">
        <v>0</v>
      </c>
      <c r="N14" s="8" t="n">
        <v>0</v>
      </c>
      <c r="O14" s="8">
        <f>M14+N14</f>
        <v/>
      </c>
      <c r="P14" s="8">
        <f>IF(L14=0,100,O14/L14*100)</f>
        <v/>
      </c>
      <c r="Q14" s="11" t="inlineStr"/>
    </row>
    <row r="15">
      <c r="B15" s="12" t="inlineStr">
        <is>
          <t>Jumlah</t>
        </is>
      </c>
      <c r="C15" s="13" t="n"/>
      <c r="D15" s="13" t="n"/>
      <c r="E15" s="13" t="n"/>
      <c r="F15" s="13" t="n"/>
      <c r="G15" s="13" t="n"/>
      <c r="H15" s="13" t="n"/>
      <c r="I15" s="14" t="n"/>
      <c r="J15" s="15">
        <f>SUM(J8:J14)</f>
        <v/>
      </c>
      <c r="K15" s="15">
        <f>SUM(K8:K14)</f>
        <v/>
      </c>
      <c r="L15" s="12">
        <f>SUM(L8:L14)</f>
        <v/>
      </c>
      <c r="M15" s="15">
        <f>SUM(M8:M14)</f>
        <v/>
      </c>
      <c r="N15" s="15">
        <f>SUM(N8:N14)</f>
        <v/>
      </c>
      <c r="O15" s="12">
        <f>SUM(O8:O14)</f>
        <v/>
      </c>
      <c r="P15" s="12">
        <f>IF(L15=0,100,O15/L15*100)</f>
        <v/>
      </c>
      <c r="Q15" s="10" t="inlineStr"/>
    </row>
  </sheetData>
  <mergeCells count="13">
    <mergeCell ref="G5:G6"/>
    <mergeCell ref="P5:P6"/>
    <mergeCell ref="J5:L5"/>
    <mergeCell ref="H5:H6"/>
    <mergeCell ref="Q5:Q6"/>
    <mergeCell ref="B15:I15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1"/>
    <row r="2" ht="24" customHeight="1">
      <c r="B2" s="1" t="inlineStr">
        <is>
          <t>Beban Kerja Petugas Lapangan SE2026 - LK PPK Termin 1 (BATCH 2)</t>
        </is>
      </c>
    </row>
    <row r="3" ht="24" customHeight="1">
      <c r="B3" s="1" t="inlineStr">
        <is>
          <t>PPL: Husnul Wahyu Lestari  |  PML: HAERUDDIN  |  Kab. Dompu, NTB</t>
        </is>
      </c>
    </row>
    <row r="4"/>
    <row r="5" ht="30.95" customHeight="1">
      <c r="B5" s="2" t="inlineStr">
        <is>
          <t>No</t>
        </is>
      </c>
      <c r="C5" s="2" t="inlineStr">
        <is>
          <t>PML</t>
        </is>
      </c>
      <c r="D5" s="14" t="n"/>
      <c r="E5" s="2" t="inlineStr">
        <is>
          <t>PPL</t>
        </is>
      </c>
      <c r="F5" s="14" t="n"/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K5" s="13" t="n"/>
      <c r="L5" s="14" t="n"/>
      <c r="M5" s="2" t="inlineStr">
        <is>
          <t>Realisasi</t>
        </is>
      </c>
      <c r="N5" s="13" t="n"/>
      <c r="O5" s="14" t="n"/>
      <c r="P5" s="2" t="inlineStr">
        <is>
          <t>Persentase (%)</t>
        </is>
      </c>
      <c r="Q5" s="2" t="inlineStr">
        <is>
          <t>Keterangan</t>
        </is>
      </c>
    </row>
    <row r="6" ht="20.45" customHeight="1">
      <c r="B6" s="18" t="n"/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G6" s="18" t="n"/>
      <c r="H6" s="18" t="n"/>
      <c r="I6" s="18" t="n"/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(BKU)</t>
        </is>
      </c>
      <c r="O6" s="2" t="inlineStr">
        <is>
          <t>Jumlah</t>
        </is>
      </c>
      <c r="P6" s="18" t="n"/>
      <c r="Q6" s="18" t="n"/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HAERUDDIN</t>
        </is>
      </c>
      <c r="D8" s="10" t="inlineStr">
        <is>
          <t>520522030054</t>
        </is>
      </c>
      <c r="E8" s="9" t="inlineStr">
        <is>
          <t>Husnul Wahyu Lestari</t>
        </is>
      </c>
      <c r="F8" s="10" t="inlineStr">
        <is>
          <t>520526050273</t>
        </is>
      </c>
      <c r="G8" s="8" t="inlineStr">
        <is>
          <t>020</t>
        </is>
      </c>
      <c r="H8" s="8" t="inlineStr">
        <is>
          <t>008</t>
        </is>
      </c>
      <c r="I8" s="8" t="inlineStr">
        <is>
          <t>001000</t>
        </is>
      </c>
      <c r="J8" s="8" t="n">
        <v>75</v>
      </c>
      <c r="K8" s="8" t="n">
        <v>34</v>
      </c>
      <c r="L8" s="8">
        <f>J8+K8</f>
        <v/>
      </c>
      <c r="M8" s="8" t="n">
        <v>6</v>
      </c>
      <c r="N8" s="8" t="n">
        <v>8</v>
      </c>
      <c r="O8" s="8">
        <f>M8+N8</f>
        <v/>
      </c>
      <c r="P8" s="8">
        <f>IF(L8=0,100,O8/L8*100)</f>
        <v/>
      </c>
      <c r="Q8" s="11" t="inlineStr"/>
    </row>
    <row r="9">
      <c r="B9" s="8" t="n">
        <v>2</v>
      </c>
      <c r="C9" s="9" t="inlineStr">
        <is>
          <t>HAERUDDIN</t>
        </is>
      </c>
      <c r="D9" s="10" t="inlineStr">
        <is>
          <t>520522030054</t>
        </is>
      </c>
      <c r="E9" s="9" t="inlineStr">
        <is>
          <t>Husnul Wahyu Lestari</t>
        </is>
      </c>
      <c r="F9" s="10" t="inlineStr">
        <is>
          <t>520526050273</t>
        </is>
      </c>
      <c r="G9" s="8" t="inlineStr">
        <is>
          <t>020</t>
        </is>
      </c>
      <c r="H9" s="8" t="inlineStr">
        <is>
          <t>008</t>
        </is>
      </c>
      <c r="I9" s="8" t="inlineStr">
        <is>
          <t>001100</t>
        </is>
      </c>
      <c r="J9" s="8" t="n">
        <v>131</v>
      </c>
      <c r="K9" s="8" t="n">
        <v>35</v>
      </c>
      <c r="L9" s="8">
        <f>J9+K9</f>
        <v/>
      </c>
      <c r="M9" s="8" t="n">
        <v>0</v>
      </c>
      <c r="N9" s="8" t="n">
        <v>1</v>
      </c>
      <c r="O9" s="8">
        <f>M9+N9</f>
        <v/>
      </c>
      <c r="P9" s="8">
        <f>IF(L9=0,100,O9/L9*100)</f>
        <v/>
      </c>
      <c r="Q9" s="11" t="inlineStr"/>
    </row>
    <row r="10">
      <c r="B10" s="4" t="n">
        <v>3</v>
      </c>
      <c r="C10" s="5" t="inlineStr">
        <is>
          <t>HAERUDDIN</t>
        </is>
      </c>
      <c r="D10" s="6" t="inlineStr">
        <is>
          <t>520522030054</t>
        </is>
      </c>
      <c r="E10" s="5" t="inlineStr">
        <is>
          <t>Husnul Wahyu Lestari</t>
        </is>
      </c>
      <c r="F10" s="6" t="inlineStr">
        <is>
          <t>520526050273</t>
        </is>
      </c>
      <c r="G10" s="4" t="inlineStr">
        <is>
          <t>020</t>
        </is>
      </c>
      <c r="H10" s="4" t="inlineStr">
        <is>
          <t>008</t>
        </is>
      </c>
      <c r="I10" s="4" t="inlineStr">
        <is>
          <t>001200</t>
        </is>
      </c>
      <c r="J10" s="4" t="n">
        <v>144</v>
      </c>
      <c r="K10" s="4" t="n">
        <v>185</v>
      </c>
      <c r="L10" s="4">
        <f>J10+K10</f>
        <v/>
      </c>
      <c r="M10" s="4" t="n">
        <v>164</v>
      </c>
      <c r="N10" s="4" t="n">
        <v>180</v>
      </c>
      <c r="O10" s="4">
        <f>M10+N10</f>
        <v/>
      </c>
      <c r="P10" s="4">
        <f>IF(L10=0,100,O10/L10*100)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HAERUDDIN</t>
        </is>
      </c>
      <c r="D11" s="6" t="inlineStr">
        <is>
          <t>520522030054</t>
        </is>
      </c>
      <c r="E11" s="5" t="inlineStr">
        <is>
          <t>Husnul Wahyu Lestari</t>
        </is>
      </c>
      <c r="F11" s="6" t="inlineStr">
        <is>
          <t>520526050273</t>
        </is>
      </c>
      <c r="G11" s="4" t="inlineStr">
        <is>
          <t>020</t>
        </is>
      </c>
      <c r="H11" s="4" t="inlineStr">
        <is>
          <t>013</t>
        </is>
      </c>
      <c r="I11" s="4" t="inlineStr">
        <is>
          <t>100200</t>
        </is>
      </c>
      <c r="J11" s="4" t="n">
        <v>0</v>
      </c>
      <c r="K11" s="4" t="n">
        <v>1</v>
      </c>
      <c r="L11" s="4">
        <f>J11+K11</f>
        <v/>
      </c>
      <c r="M11" s="4" t="n">
        <v>0</v>
      </c>
      <c r="N11" s="4" t="n">
        <v>1</v>
      </c>
      <c r="O11" s="4">
        <f>M11+N11</f>
        <v/>
      </c>
      <c r="P11" s="4">
        <f>IF(L11=0,100,O11/L11*100)</f>
        <v/>
      </c>
      <c r="Q11" s="7" t="inlineStr">
        <is>
          <t>PRIORITAS</t>
        </is>
      </c>
    </row>
    <row r="12">
      <c r="B12" s="12" t="inlineStr">
        <is>
          <t>Jumlah</t>
        </is>
      </c>
      <c r="C12" s="13" t="n"/>
      <c r="D12" s="13" t="n"/>
      <c r="E12" s="13" t="n"/>
      <c r="F12" s="13" t="n"/>
      <c r="G12" s="13" t="n"/>
      <c r="H12" s="13" t="n"/>
      <c r="I12" s="14" t="n"/>
      <c r="J12" s="15">
        <f>SUM(J8:J11)</f>
        <v/>
      </c>
      <c r="K12" s="15">
        <f>SUM(K8:K11)</f>
        <v/>
      </c>
      <c r="L12" s="12">
        <f>SUM(L8:L11)</f>
        <v/>
      </c>
      <c r="M12" s="15">
        <f>SUM(M8:M11)</f>
        <v/>
      </c>
      <c r="N12" s="15">
        <f>SUM(N8:N11)</f>
        <v/>
      </c>
      <c r="O12" s="12">
        <f>SUM(O8:O11)</f>
        <v/>
      </c>
      <c r="P12" s="12">
        <f>IF(L12=0,100,O12/L12*100)</f>
        <v/>
      </c>
      <c r="Q12" s="10" t="inlineStr"/>
    </row>
  </sheetData>
  <mergeCells count="13">
    <mergeCell ref="B12:I12"/>
    <mergeCell ref="G5:G6"/>
    <mergeCell ref="P5:P6"/>
    <mergeCell ref="J5:L5"/>
    <mergeCell ref="H5:H6"/>
    <mergeCell ref="Q5:Q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1"/>
    <row r="2" ht="24" customHeight="1">
      <c r="B2" s="1" t="inlineStr">
        <is>
          <t>Beban Kerja Petugas Lapangan SE2026 - LK PPK Termin 1 (BATCH 2)</t>
        </is>
      </c>
    </row>
    <row r="3" ht="24" customHeight="1">
      <c r="B3" s="1" t="inlineStr">
        <is>
          <t>PPL: IFA NURUL AISYAH  |  PML: HAERUDDIN  |  Kab. Dompu, NTB</t>
        </is>
      </c>
    </row>
    <row r="4"/>
    <row r="5" ht="30.95" customHeight="1">
      <c r="B5" s="2" t="inlineStr">
        <is>
          <t>No</t>
        </is>
      </c>
      <c r="C5" s="2" t="inlineStr">
        <is>
          <t>PML</t>
        </is>
      </c>
      <c r="D5" s="14" t="n"/>
      <c r="E5" s="2" t="inlineStr">
        <is>
          <t>PPL</t>
        </is>
      </c>
      <c r="F5" s="14" t="n"/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K5" s="13" t="n"/>
      <c r="L5" s="14" t="n"/>
      <c r="M5" s="2" t="inlineStr">
        <is>
          <t>Realisasi</t>
        </is>
      </c>
      <c r="N5" s="13" t="n"/>
      <c r="O5" s="14" t="n"/>
      <c r="P5" s="2" t="inlineStr">
        <is>
          <t>Persentase (%)</t>
        </is>
      </c>
      <c r="Q5" s="2" t="inlineStr">
        <is>
          <t>Keterangan</t>
        </is>
      </c>
    </row>
    <row r="6" ht="20.45" customHeight="1">
      <c r="B6" s="18" t="n"/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G6" s="18" t="n"/>
      <c r="H6" s="18" t="n"/>
      <c r="I6" s="18" t="n"/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(BKU)</t>
        </is>
      </c>
      <c r="O6" s="2" t="inlineStr">
        <is>
          <t>Jumlah</t>
        </is>
      </c>
      <c r="P6" s="18" t="n"/>
      <c r="Q6" s="18" t="n"/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HAERUDDIN</t>
        </is>
      </c>
      <c r="D8" s="10" t="inlineStr">
        <is>
          <t>520522030054</t>
        </is>
      </c>
      <c r="E8" s="9" t="inlineStr">
        <is>
          <t>IFA NURUL AISYAH</t>
        </is>
      </c>
      <c r="F8" s="10" t="inlineStr">
        <is>
          <t>520526050031</t>
        </is>
      </c>
      <c r="G8" s="8" t="inlineStr">
        <is>
          <t>020</t>
        </is>
      </c>
      <c r="H8" s="8" t="inlineStr">
        <is>
          <t>004</t>
        </is>
      </c>
      <c r="I8" s="8" t="inlineStr">
        <is>
          <t>100400</t>
        </is>
      </c>
      <c r="J8" s="8" t="n">
        <v>0</v>
      </c>
      <c r="K8" s="8" t="n">
        <v>0</v>
      </c>
      <c r="L8" s="8">
        <f>J8+K8</f>
        <v/>
      </c>
      <c r="M8" s="8" t="n">
        <v>0</v>
      </c>
      <c r="N8" s="8" t="n">
        <v>0</v>
      </c>
      <c r="O8" s="8">
        <f>M8+N8</f>
        <v/>
      </c>
      <c r="P8" s="8">
        <f>IF(L8=0,100,O8/L8*100)</f>
        <v/>
      </c>
      <c r="Q8" s="11" t="inlineStr"/>
    </row>
    <row r="9">
      <c r="B9" s="8" t="n">
        <v>2</v>
      </c>
      <c r="C9" s="9" t="inlineStr">
        <is>
          <t>HAERUDDIN</t>
        </is>
      </c>
      <c r="D9" s="10" t="inlineStr">
        <is>
          <t>520522030054</t>
        </is>
      </c>
      <c r="E9" s="9" t="inlineStr">
        <is>
          <t>IFA NURUL AISYAH</t>
        </is>
      </c>
      <c r="F9" s="10" t="inlineStr">
        <is>
          <t>520526050031</t>
        </is>
      </c>
      <c r="G9" s="8" t="inlineStr">
        <is>
          <t>020</t>
        </is>
      </c>
      <c r="H9" s="8" t="inlineStr">
        <is>
          <t>004</t>
        </is>
      </c>
      <c r="I9" s="8" t="inlineStr">
        <is>
          <t>300800</t>
        </is>
      </c>
      <c r="J9" s="8" t="n">
        <v>0</v>
      </c>
      <c r="K9" s="8" t="n">
        <v>0</v>
      </c>
      <c r="L9" s="8">
        <f>J9+K9</f>
        <v/>
      </c>
      <c r="M9" s="8" t="n">
        <v>0</v>
      </c>
      <c r="N9" s="8" t="n">
        <v>0</v>
      </c>
      <c r="O9" s="8">
        <f>M9+N9</f>
        <v/>
      </c>
      <c r="P9" s="8">
        <f>IF(L9=0,100,O9/L9*100)</f>
        <v/>
      </c>
      <c r="Q9" s="11" t="inlineStr"/>
    </row>
    <row r="10">
      <c r="B10" s="4" t="n">
        <v>3</v>
      </c>
      <c r="C10" s="5" t="inlineStr">
        <is>
          <t>HAERUDDIN</t>
        </is>
      </c>
      <c r="D10" s="6" t="inlineStr">
        <is>
          <t>520522030054</t>
        </is>
      </c>
      <c r="E10" s="5" t="inlineStr">
        <is>
          <t>IFA NURUL AISYAH</t>
        </is>
      </c>
      <c r="F10" s="6" t="inlineStr">
        <is>
          <t>520526050031</t>
        </is>
      </c>
      <c r="G10" s="4" t="inlineStr">
        <is>
          <t>020</t>
        </is>
      </c>
      <c r="H10" s="4" t="inlineStr">
        <is>
          <t>008</t>
        </is>
      </c>
      <c r="I10" s="4" t="inlineStr">
        <is>
          <t>000900</t>
        </is>
      </c>
      <c r="J10" s="4" t="n">
        <v>95</v>
      </c>
      <c r="K10" s="4" t="n">
        <v>49</v>
      </c>
      <c r="L10" s="4">
        <f>J10+K10</f>
        <v/>
      </c>
      <c r="M10" s="4" t="n">
        <v>102</v>
      </c>
      <c r="N10" s="4" t="n">
        <v>50</v>
      </c>
      <c r="O10" s="4">
        <f>M10+N10</f>
        <v/>
      </c>
      <c r="P10" s="4">
        <f>IF(L10=0,100,O10/L10*100)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HAERUDDIN</t>
        </is>
      </c>
      <c r="D11" s="6" t="inlineStr">
        <is>
          <t>520522030054</t>
        </is>
      </c>
      <c r="E11" s="5" t="inlineStr">
        <is>
          <t>IFA NURUL AISYAH</t>
        </is>
      </c>
      <c r="F11" s="6" t="inlineStr">
        <is>
          <t>520526050031</t>
        </is>
      </c>
      <c r="G11" s="4" t="inlineStr">
        <is>
          <t>020</t>
        </is>
      </c>
      <c r="H11" s="4" t="inlineStr">
        <is>
          <t>008</t>
        </is>
      </c>
      <c r="I11" s="4" t="inlineStr">
        <is>
          <t>100200</t>
        </is>
      </c>
      <c r="J11" s="4" t="n">
        <v>0</v>
      </c>
      <c r="K11" s="4" t="n">
        <v>441</v>
      </c>
      <c r="L11" s="4">
        <f>J11+K11</f>
        <v/>
      </c>
      <c r="M11" s="4" t="n">
        <v>0</v>
      </c>
      <c r="N11" s="4" t="n">
        <v>320</v>
      </c>
      <c r="O11" s="4">
        <f>M11+N11</f>
        <v/>
      </c>
      <c r="P11" s="4">
        <f>IF(L11=0,100,O11/L11*100)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HAERUDDIN</t>
        </is>
      </c>
      <c r="D12" s="10" t="inlineStr">
        <is>
          <t>520522030054</t>
        </is>
      </c>
      <c r="E12" s="9" t="inlineStr">
        <is>
          <t>IFA NURUL AISYAH</t>
        </is>
      </c>
      <c r="F12" s="10" t="inlineStr">
        <is>
          <t>520526050031</t>
        </is>
      </c>
      <c r="G12" s="8" t="inlineStr">
        <is>
          <t>020</t>
        </is>
      </c>
      <c r="H12" s="8" t="inlineStr">
        <is>
          <t>016</t>
        </is>
      </c>
      <c r="I12" s="8" t="inlineStr">
        <is>
          <t>000800</t>
        </is>
      </c>
      <c r="J12" s="8" t="n">
        <v>59</v>
      </c>
      <c r="K12" s="8" t="n">
        <v>13</v>
      </c>
      <c r="L12" s="8">
        <f>J12+K12</f>
        <v/>
      </c>
      <c r="M12" s="8" t="n">
        <v>22</v>
      </c>
      <c r="N12" s="8" t="n">
        <v>4</v>
      </c>
      <c r="O12" s="8">
        <f>M12+N12</f>
        <v/>
      </c>
      <c r="P12" s="8">
        <f>IF(L12=0,100,O12/L12*100)</f>
        <v/>
      </c>
      <c r="Q12" s="11" t="inlineStr"/>
    </row>
    <row r="13">
      <c r="B13" s="12" t="inlineStr">
        <is>
          <t>Jumlah</t>
        </is>
      </c>
      <c r="C13" s="13" t="n"/>
      <c r="D13" s="13" t="n"/>
      <c r="E13" s="13" t="n"/>
      <c r="F13" s="13" t="n"/>
      <c r="G13" s="13" t="n"/>
      <c r="H13" s="13" t="n"/>
      <c r="I13" s="14" t="n"/>
      <c r="J13" s="15">
        <f>SUM(J8:J12)</f>
        <v/>
      </c>
      <c r="K13" s="15">
        <f>SUM(K8:K12)</f>
        <v/>
      </c>
      <c r="L13" s="12">
        <f>SUM(L8:L12)</f>
        <v/>
      </c>
      <c r="M13" s="15">
        <f>SUM(M8:M12)</f>
        <v/>
      </c>
      <c r="N13" s="15">
        <f>SUM(N8:N12)</f>
        <v/>
      </c>
      <c r="O13" s="12">
        <f>SUM(O8:O12)</f>
        <v/>
      </c>
      <c r="P13" s="12">
        <f>IF(L13=0,100,O13/L13*100)</f>
        <v/>
      </c>
      <c r="Q13" s="10" t="inlineStr"/>
    </row>
  </sheetData>
  <mergeCells count="13">
    <mergeCell ref="G5:G6"/>
    <mergeCell ref="P5:P6"/>
    <mergeCell ref="J5:L5"/>
    <mergeCell ref="H5:H6"/>
    <mergeCell ref="Q5:Q6"/>
    <mergeCell ref="B13:I13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1"/>
    <row r="2" ht="24" customHeight="1">
      <c r="B2" s="1" t="inlineStr">
        <is>
          <t>Beban Kerja Petugas Lapangan SE2026 - LK PPK Termin 1 (BATCH 2)</t>
        </is>
      </c>
    </row>
    <row r="3" ht="24" customHeight="1">
      <c r="B3" s="1" t="inlineStr">
        <is>
          <t>PPL: Moh Ma'ruf  |  PML: HAERUDDIN  |  Kab. Dompu, NTB</t>
        </is>
      </c>
    </row>
    <row r="4"/>
    <row r="5" ht="30.95" customHeight="1">
      <c r="B5" s="2" t="inlineStr">
        <is>
          <t>No</t>
        </is>
      </c>
      <c r="C5" s="2" t="inlineStr">
        <is>
          <t>PML</t>
        </is>
      </c>
      <c r="D5" s="14" t="n"/>
      <c r="E5" s="2" t="inlineStr">
        <is>
          <t>PPL</t>
        </is>
      </c>
      <c r="F5" s="14" t="n"/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K5" s="13" t="n"/>
      <c r="L5" s="14" t="n"/>
      <c r="M5" s="2" t="inlineStr">
        <is>
          <t>Realisasi</t>
        </is>
      </c>
      <c r="N5" s="13" t="n"/>
      <c r="O5" s="14" t="n"/>
      <c r="P5" s="2" t="inlineStr">
        <is>
          <t>Persentase (%)</t>
        </is>
      </c>
      <c r="Q5" s="2" t="inlineStr">
        <is>
          <t>Keterangan</t>
        </is>
      </c>
    </row>
    <row r="6" ht="20.45" customHeight="1">
      <c r="B6" s="18" t="n"/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G6" s="18" t="n"/>
      <c r="H6" s="18" t="n"/>
      <c r="I6" s="18" t="n"/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(BKU)</t>
        </is>
      </c>
      <c r="O6" s="2" t="inlineStr">
        <is>
          <t>Jumlah</t>
        </is>
      </c>
      <c r="P6" s="18" t="n"/>
      <c r="Q6" s="18" t="n"/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HAERUDDIN</t>
        </is>
      </c>
      <c r="D8" s="10" t="inlineStr">
        <is>
          <t>520522030054</t>
        </is>
      </c>
      <c r="E8" s="9" t="inlineStr">
        <is>
          <t>Moh Ma'ruf</t>
        </is>
      </c>
      <c r="F8" s="10" t="inlineStr">
        <is>
          <t>520525110198</t>
        </is>
      </c>
      <c r="G8" s="8" t="inlineStr">
        <is>
          <t>020</t>
        </is>
      </c>
      <c r="H8" s="8" t="inlineStr">
        <is>
          <t>016</t>
        </is>
      </c>
      <c r="I8" s="8" t="inlineStr">
        <is>
          <t>000700</t>
        </is>
      </c>
      <c r="J8" s="8" t="n">
        <v>54</v>
      </c>
      <c r="K8" s="8" t="n">
        <v>10</v>
      </c>
      <c r="L8" s="8">
        <f>J8+K8</f>
        <v/>
      </c>
      <c r="M8" s="8" t="n">
        <v>7</v>
      </c>
      <c r="N8" s="8" t="n">
        <v>3</v>
      </c>
      <c r="O8" s="8">
        <f>M8+N8</f>
        <v/>
      </c>
      <c r="P8" s="8">
        <f>IF(L8=0,100,O8/L8*100)</f>
        <v/>
      </c>
      <c r="Q8" s="11" t="inlineStr"/>
    </row>
    <row r="9">
      <c r="B9" s="8" t="n">
        <v>2</v>
      </c>
      <c r="C9" s="9" t="inlineStr">
        <is>
          <t>HAERUDDIN</t>
        </is>
      </c>
      <c r="D9" s="10" t="inlineStr">
        <is>
          <t>520522030054</t>
        </is>
      </c>
      <c r="E9" s="9" t="inlineStr">
        <is>
          <t>Moh Ma'ruf</t>
        </is>
      </c>
      <c r="F9" s="10" t="inlineStr">
        <is>
          <t>520525110198</t>
        </is>
      </c>
      <c r="G9" s="8" t="inlineStr">
        <is>
          <t>020</t>
        </is>
      </c>
      <c r="H9" s="8" t="inlineStr">
        <is>
          <t>016</t>
        </is>
      </c>
      <c r="I9" s="8" t="inlineStr">
        <is>
          <t>000900</t>
        </is>
      </c>
      <c r="J9" s="8" t="n">
        <v>27</v>
      </c>
      <c r="K9" s="8" t="n">
        <v>23</v>
      </c>
      <c r="L9" s="8">
        <f>J9+K9</f>
        <v/>
      </c>
      <c r="M9" s="8" t="n">
        <v>16</v>
      </c>
      <c r="N9" s="8" t="n">
        <v>19</v>
      </c>
      <c r="O9" s="8">
        <f>M9+N9</f>
        <v/>
      </c>
      <c r="P9" s="8">
        <f>IF(L9=0,100,O9/L9*100)</f>
        <v/>
      </c>
      <c r="Q9" s="11" t="inlineStr"/>
    </row>
    <row r="10">
      <c r="B10" s="4" t="n">
        <v>3</v>
      </c>
      <c r="C10" s="5" t="inlineStr">
        <is>
          <t>HAERUDDIN</t>
        </is>
      </c>
      <c r="D10" s="6" t="inlineStr">
        <is>
          <t>520522030054</t>
        </is>
      </c>
      <c r="E10" s="5" t="inlineStr">
        <is>
          <t>Moh Ma'ruf</t>
        </is>
      </c>
      <c r="F10" s="6" t="inlineStr">
        <is>
          <t>520525110198</t>
        </is>
      </c>
      <c r="G10" s="4" t="inlineStr">
        <is>
          <t>020</t>
        </is>
      </c>
      <c r="H10" s="4" t="inlineStr">
        <is>
          <t>016</t>
        </is>
      </c>
      <c r="I10" s="4" t="inlineStr">
        <is>
          <t>001000</t>
        </is>
      </c>
      <c r="J10" s="4" t="n">
        <v>54</v>
      </c>
      <c r="K10" s="4" t="n">
        <v>13</v>
      </c>
      <c r="L10" s="4">
        <f>J10+K10</f>
        <v/>
      </c>
      <c r="M10" s="4" t="n">
        <v>81</v>
      </c>
      <c r="N10" s="4" t="n">
        <v>12</v>
      </c>
      <c r="O10" s="4">
        <f>M10+N10</f>
        <v/>
      </c>
      <c r="P10" s="4">
        <f>IF(L10=0,100,O10/L10*100)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HAERUDDIN</t>
        </is>
      </c>
      <c r="D11" s="6" t="inlineStr">
        <is>
          <t>520522030054</t>
        </is>
      </c>
      <c r="E11" s="5" t="inlineStr">
        <is>
          <t>Moh Ma'ruf</t>
        </is>
      </c>
      <c r="F11" s="6" t="inlineStr">
        <is>
          <t>520525110198</t>
        </is>
      </c>
      <c r="G11" s="4" t="inlineStr">
        <is>
          <t>020</t>
        </is>
      </c>
      <c r="H11" s="4" t="inlineStr">
        <is>
          <t>016</t>
        </is>
      </c>
      <c r="I11" s="4" t="inlineStr">
        <is>
          <t>001100</t>
        </is>
      </c>
      <c r="J11" s="4" t="n">
        <v>65</v>
      </c>
      <c r="K11" s="4" t="n">
        <v>22</v>
      </c>
      <c r="L11" s="4">
        <f>J11+K11</f>
        <v/>
      </c>
      <c r="M11" s="4" t="n">
        <v>73</v>
      </c>
      <c r="N11" s="4" t="n">
        <v>22</v>
      </c>
      <c r="O11" s="4">
        <f>M11+N11</f>
        <v/>
      </c>
      <c r="P11" s="4">
        <f>IF(L11=0,100,O11/L11*100)</f>
        <v/>
      </c>
      <c r="Q11" s="7" t="inlineStr">
        <is>
          <t>PRIORITAS</t>
        </is>
      </c>
    </row>
    <row r="12">
      <c r="B12" s="4" t="n">
        <v>5</v>
      </c>
      <c r="C12" s="5" t="inlineStr">
        <is>
          <t>HAERUDDIN</t>
        </is>
      </c>
      <c r="D12" s="6" t="inlineStr">
        <is>
          <t>520522030054</t>
        </is>
      </c>
      <c r="E12" s="5" t="inlineStr">
        <is>
          <t>Moh Ma'ruf</t>
        </is>
      </c>
      <c r="F12" s="6" t="inlineStr">
        <is>
          <t>520525110198</t>
        </is>
      </c>
      <c r="G12" s="4" t="inlineStr">
        <is>
          <t>020</t>
        </is>
      </c>
      <c r="H12" s="4" t="inlineStr">
        <is>
          <t>016</t>
        </is>
      </c>
      <c r="I12" s="4" t="inlineStr">
        <is>
          <t>001200</t>
        </is>
      </c>
      <c r="J12" s="4" t="n">
        <v>39</v>
      </c>
      <c r="K12" s="4" t="n">
        <v>13</v>
      </c>
      <c r="L12" s="4">
        <f>J12+K12</f>
        <v/>
      </c>
      <c r="M12" s="4" t="n">
        <v>44</v>
      </c>
      <c r="N12" s="4" t="n">
        <v>14</v>
      </c>
      <c r="O12" s="4">
        <f>M12+N12</f>
        <v/>
      </c>
      <c r="P12" s="4">
        <f>IF(L12=0,100,O12/L12*100)</f>
        <v/>
      </c>
      <c r="Q12" s="7" t="inlineStr">
        <is>
          <t>PRIORITAS</t>
        </is>
      </c>
    </row>
    <row r="13">
      <c r="B13" s="4" t="n">
        <v>6</v>
      </c>
      <c r="C13" s="5" t="inlineStr">
        <is>
          <t>HAERUDDIN</t>
        </is>
      </c>
      <c r="D13" s="6" t="inlineStr">
        <is>
          <t>520522030054</t>
        </is>
      </c>
      <c r="E13" s="5" t="inlineStr">
        <is>
          <t>Moh Ma'ruf</t>
        </is>
      </c>
      <c r="F13" s="6" t="inlineStr">
        <is>
          <t>520525110198</t>
        </is>
      </c>
      <c r="G13" s="4" t="inlineStr">
        <is>
          <t>020</t>
        </is>
      </c>
      <c r="H13" s="4" t="inlineStr">
        <is>
          <t>016</t>
        </is>
      </c>
      <c r="I13" s="4" t="inlineStr">
        <is>
          <t>001300</t>
        </is>
      </c>
      <c r="J13" s="4" t="n">
        <v>59</v>
      </c>
      <c r="K13" s="4" t="n">
        <v>22</v>
      </c>
      <c r="L13" s="4">
        <f>J13+K13</f>
        <v/>
      </c>
      <c r="M13" s="4" t="n">
        <v>64</v>
      </c>
      <c r="N13" s="4" t="n">
        <v>25</v>
      </c>
      <c r="O13" s="4">
        <f>M13+N13</f>
        <v/>
      </c>
      <c r="P13" s="4">
        <f>IF(L13=0,100,O13/L13*100)</f>
        <v/>
      </c>
      <c r="Q13" s="7" t="inlineStr">
        <is>
          <t>PRIORITAS</t>
        </is>
      </c>
    </row>
    <row r="14">
      <c r="B14" s="8" t="n">
        <v>7</v>
      </c>
      <c r="C14" s="9" t="inlineStr">
        <is>
          <t>HAERUDDIN</t>
        </is>
      </c>
      <c r="D14" s="10" t="inlineStr">
        <is>
          <t>520522030054</t>
        </is>
      </c>
      <c r="E14" s="9" t="inlineStr">
        <is>
          <t>Moh Ma'ruf</t>
        </is>
      </c>
      <c r="F14" s="10" t="inlineStr">
        <is>
          <t>520525110198</t>
        </is>
      </c>
      <c r="G14" s="8" t="inlineStr">
        <is>
          <t>020</t>
        </is>
      </c>
      <c r="H14" s="8" t="inlineStr">
        <is>
          <t>016</t>
        </is>
      </c>
      <c r="I14" s="8" t="inlineStr">
        <is>
          <t>001400</t>
        </is>
      </c>
      <c r="J14" s="8" t="n">
        <v>23</v>
      </c>
      <c r="K14" s="8" t="n">
        <v>17</v>
      </c>
      <c r="L14" s="8">
        <f>J14+K14</f>
        <v/>
      </c>
      <c r="M14" s="8" t="n">
        <v>0</v>
      </c>
      <c r="N14" s="8" t="n">
        <v>0</v>
      </c>
      <c r="O14" s="8">
        <f>M14+N14</f>
        <v/>
      </c>
      <c r="P14" s="8">
        <f>IF(L14=0,100,O14/L14*100)</f>
        <v/>
      </c>
      <c r="Q14" s="11" t="inlineStr"/>
    </row>
    <row r="15">
      <c r="B15" s="8" t="n">
        <v>8</v>
      </c>
      <c r="C15" s="9" t="inlineStr">
        <is>
          <t>HAERUDDIN</t>
        </is>
      </c>
      <c r="D15" s="10" t="inlineStr">
        <is>
          <t>520522030054</t>
        </is>
      </c>
      <c r="E15" s="9" t="inlineStr">
        <is>
          <t>Moh Ma'ruf</t>
        </is>
      </c>
      <c r="F15" s="10" t="inlineStr">
        <is>
          <t>520525110198</t>
        </is>
      </c>
      <c r="G15" s="8" t="inlineStr">
        <is>
          <t>020</t>
        </is>
      </c>
      <c r="H15" s="8" t="inlineStr">
        <is>
          <t>016</t>
        </is>
      </c>
      <c r="I15" s="8" t="inlineStr">
        <is>
          <t>001500</t>
        </is>
      </c>
      <c r="J15" s="8" t="n">
        <v>30</v>
      </c>
      <c r="K15" s="8" t="n">
        <v>14</v>
      </c>
      <c r="L15" s="8">
        <f>J15+K15</f>
        <v/>
      </c>
      <c r="M15" s="8" t="n">
        <v>0</v>
      </c>
      <c r="N15" s="8" t="n">
        <v>0</v>
      </c>
      <c r="O15" s="8">
        <f>M15+N15</f>
        <v/>
      </c>
      <c r="P15" s="8">
        <f>IF(L15=0,100,O15/L15*100)</f>
        <v/>
      </c>
      <c r="Q15" s="11" t="inlineStr"/>
    </row>
    <row r="16">
      <c r="B16" s="8" t="n">
        <v>9</v>
      </c>
      <c r="C16" s="9" t="inlineStr">
        <is>
          <t>HAERUDDIN</t>
        </is>
      </c>
      <c r="D16" s="10" t="inlineStr">
        <is>
          <t>520522030054</t>
        </is>
      </c>
      <c r="E16" s="9" t="inlineStr">
        <is>
          <t>Moh Ma'ruf</t>
        </is>
      </c>
      <c r="F16" s="10" t="inlineStr">
        <is>
          <t>520525110198</t>
        </is>
      </c>
      <c r="G16" s="8" t="inlineStr">
        <is>
          <t>020</t>
        </is>
      </c>
      <c r="H16" s="8" t="inlineStr">
        <is>
          <t>016</t>
        </is>
      </c>
      <c r="I16" s="8" t="inlineStr">
        <is>
          <t>001600</t>
        </is>
      </c>
      <c r="J16" s="8" t="n">
        <v>37</v>
      </c>
      <c r="K16" s="8" t="n">
        <v>26</v>
      </c>
      <c r="L16" s="8">
        <f>J16+K16</f>
        <v/>
      </c>
      <c r="M16" s="8" t="n">
        <v>0</v>
      </c>
      <c r="N16" s="8" t="n">
        <v>0</v>
      </c>
      <c r="O16" s="8">
        <f>M16+N16</f>
        <v/>
      </c>
      <c r="P16" s="8">
        <f>IF(L16=0,100,O16/L16*100)</f>
        <v/>
      </c>
      <c r="Q16" s="11" t="inlineStr"/>
    </row>
    <row r="17">
      <c r="B17" s="8" t="n">
        <v>10</v>
      </c>
      <c r="C17" s="9" t="inlineStr">
        <is>
          <t>HAERUDDIN</t>
        </is>
      </c>
      <c r="D17" s="10" t="inlineStr">
        <is>
          <t>520522030054</t>
        </is>
      </c>
      <c r="E17" s="9" t="inlineStr">
        <is>
          <t>Moh Ma'ruf</t>
        </is>
      </c>
      <c r="F17" s="10" t="inlineStr">
        <is>
          <t>520525110198</t>
        </is>
      </c>
      <c r="G17" s="8" t="inlineStr">
        <is>
          <t>020</t>
        </is>
      </c>
      <c r="H17" s="8" t="inlineStr">
        <is>
          <t>016</t>
        </is>
      </c>
      <c r="I17" s="8" t="inlineStr">
        <is>
          <t>100200</t>
        </is>
      </c>
      <c r="J17" s="8" t="n">
        <v>17</v>
      </c>
      <c r="K17" s="8" t="n">
        <v>30</v>
      </c>
      <c r="L17" s="8">
        <f>J17+K17</f>
        <v/>
      </c>
      <c r="M17" s="8" t="n">
        <v>0</v>
      </c>
      <c r="N17" s="8" t="n">
        <v>0</v>
      </c>
      <c r="O17" s="8">
        <f>M17+N17</f>
        <v/>
      </c>
      <c r="P17" s="8">
        <f>IF(L17=0,100,O17/L17*100)</f>
        <v/>
      </c>
      <c r="Q17" s="11" t="inlineStr"/>
    </row>
    <row r="18">
      <c r="B18" s="12" t="inlineStr">
        <is>
          <t>Jumlah</t>
        </is>
      </c>
      <c r="C18" s="13" t="n"/>
      <c r="D18" s="13" t="n"/>
      <c r="E18" s="13" t="n"/>
      <c r="F18" s="13" t="n"/>
      <c r="G18" s="13" t="n"/>
      <c r="H18" s="13" t="n"/>
      <c r="I18" s="14" t="n"/>
      <c r="J18" s="15">
        <f>SUM(J8:J17)</f>
        <v/>
      </c>
      <c r="K18" s="15">
        <f>SUM(K8:K17)</f>
        <v/>
      </c>
      <c r="L18" s="12">
        <f>SUM(L8:L17)</f>
        <v/>
      </c>
      <c r="M18" s="15">
        <f>SUM(M8:M17)</f>
        <v/>
      </c>
      <c r="N18" s="15">
        <f>SUM(N8:N17)</f>
        <v/>
      </c>
      <c r="O18" s="12">
        <f>SUM(O8:O17)</f>
        <v/>
      </c>
      <c r="P18" s="12">
        <f>IF(L18=0,100,O18/L18*100)</f>
        <v/>
      </c>
      <c r="Q18" s="10" t="inlineStr"/>
    </row>
  </sheetData>
  <mergeCells count="13">
    <mergeCell ref="B18:I18"/>
    <mergeCell ref="G5:G6"/>
    <mergeCell ref="P5:P6"/>
    <mergeCell ref="J5:L5"/>
    <mergeCell ref="H5:H6"/>
    <mergeCell ref="Q5:Q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1"/>
    <row r="2" ht="24" customHeight="1">
      <c r="B2" s="1" t="inlineStr">
        <is>
          <t>Beban Kerja Petugas Lapangan SE2026 - LK PPK Termin 1 (BATCH 2)</t>
        </is>
      </c>
    </row>
    <row r="3" ht="24" customHeight="1">
      <c r="B3" s="1" t="inlineStr">
        <is>
          <t>PPL: Nurlailah  |  PML: HAERUDDIN  |  Kab. Dompu, NTB</t>
        </is>
      </c>
    </row>
    <row r="4"/>
    <row r="5" ht="30.95" customHeight="1">
      <c r="B5" s="2" t="inlineStr">
        <is>
          <t>No</t>
        </is>
      </c>
      <c r="C5" s="2" t="inlineStr">
        <is>
          <t>PML</t>
        </is>
      </c>
      <c r="D5" s="14" t="n"/>
      <c r="E5" s="2" t="inlineStr">
        <is>
          <t>PPL</t>
        </is>
      </c>
      <c r="F5" s="14" t="n"/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K5" s="13" t="n"/>
      <c r="L5" s="14" t="n"/>
      <c r="M5" s="2" t="inlineStr">
        <is>
          <t>Realisasi</t>
        </is>
      </c>
      <c r="N5" s="13" t="n"/>
      <c r="O5" s="14" t="n"/>
      <c r="P5" s="2" t="inlineStr">
        <is>
          <t>Persentase (%)</t>
        </is>
      </c>
      <c r="Q5" s="2" t="inlineStr">
        <is>
          <t>Keterangan</t>
        </is>
      </c>
    </row>
    <row r="6" ht="20.45" customHeight="1">
      <c r="B6" s="18" t="n"/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G6" s="18" t="n"/>
      <c r="H6" s="18" t="n"/>
      <c r="I6" s="18" t="n"/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(BKU)</t>
        </is>
      </c>
      <c r="O6" s="2" t="inlineStr">
        <is>
          <t>Jumlah</t>
        </is>
      </c>
      <c r="P6" s="18" t="n"/>
      <c r="Q6" s="18" t="n"/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HAERUDDIN</t>
        </is>
      </c>
      <c r="D8" s="6" t="inlineStr">
        <is>
          <t>520522030054</t>
        </is>
      </c>
      <c r="E8" s="5" t="inlineStr">
        <is>
          <t>Nurlailah</t>
        </is>
      </c>
      <c r="F8" s="6" t="inlineStr">
        <is>
          <t>520525110108</t>
        </is>
      </c>
      <c r="G8" s="4" t="inlineStr">
        <is>
          <t>020</t>
        </is>
      </c>
      <c r="H8" s="4" t="inlineStr">
        <is>
          <t>010</t>
        </is>
      </c>
      <c r="I8" s="4" t="inlineStr">
        <is>
          <t>000600</t>
        </is>
      </c>
      <c r="J8" s="4" t="n">
        <v>106</v>
      </c>
      <c r="K8" s="4" t="n">
        <v>88</v>
      </c>
      <c r="L8" s="4">
        <f>J8+K8</f>
        <v/>
      </c>
      <c r="M8" s="4" t="n">
        <v>115</v>
      </c>
      <c r="N8" s="4" t="n">
        <v>87</v>
      </c>
      <c r="O8" s="4">
        <f>M8+N8</f>
        <v/>
      </c>
      <c r="P8" s="4">
        <f>IF(L8=0,100,O8/L8*100)</f>
        <v/>
      </c>
      <c r="Q8" s="7" t="inlineStr">
        <is>
          <t>PRIORITAS</t>
        </is>
      </c>
    </row>
    <row r="9">
      <c r="B9" s="8" t="n">
        <v>2</v>
      </c>
      <c r="C9" s="9" t="inlineStr">
        <is>
          <t>HAERUDDIN</t>
        </is>
      </c>
      <c r="D9" s="10" t="inlineStr">
        <is>
          <t>520522030054</t>
        </is>
      </c>
      <c r="E9" s="9" t="inlineStr">
        <is>
          <t>Nurlailah</t>
        </is>
      </c>
      <c r="F9" s="10" t="inlineStr">
        <is>
          <t>520525110108</t>
        </is>
      </c>
      <c r="G9" s="8" t="inlineStr">
        <is>
          <t>020</t>
        </is>
      </c>
      <c r="H9" s="8" t="inlineStr">
        <is>
          <t>010</t>
        </is>
      </c>
      <c r="I9" s="8" t="inlineStr">
        <is>
          <t>000700</t>
        </is>
      </c>
      <c r="J9" s="8" t="n">
        <v>74</v>
      </c>
      <c r="K9" s="8" t="n">
        <v>31</v>
      </c>
      <c r="L9" s="8">
        <f>J9+K9</f>
        <v/>
      </c>
      <c r="M9" s="8" t="n">
        <v>1</v>
      </c>
      <c r="N9" s="8" t="n">
        <v>0</v>
      </c>
      <c r="O9" s="8">
        <f>M9+N9</f>
        <v/>
      </c>
      <c r="P9" s="8">
        <f>IF(L9=0,100,O9/L9*100)</f>
        <v/>
      </c>
      <c r="Q9" s="11" t="inlineStr"/>
    </row>
    <row r="10">
      <c r="B10" s="8" t="n">
        <v>3</v>
      </c>
      <c r="C10" s="9" t="inlineStr">
        <is>
          <t>HAERUDDIN</t>
        </is>
      </c>
      <c r="D10" s="10" t="inlineStr">
        <is>
          <t>520522030054</t>
        </is>
      </c>
      <c r="E10" s="9" t="inlineStr">
        <is>
          <t>Nurlailah</t>
        </is>
      </c>
      <c r="F10" s="10" t="inlineStr">
        <is>
          <t>520525110108</t>
        </is>
      </c>
      <c r="G10" s="8" t="inlineStr">
        <is>
          <t>020</t>
        </is>
      </c>
      <c r="H10" s="8" t="inlineStr">
        <is>
          <t>010</t>
        </is>
      </c>
      <c r="I10" s="8" t="inlineStr">
        <is>
          <t>000800</t>
        </is>
      </c>
      <c r="J10" s="8" t="n">
        <v>126</v>
      </c>
      <c r="K10" s="8" t="n">
        <v>49</v>
      </c>
      <c r="L10" s="8">
        <f>J10+K10</f>
        <v/>
      </c>
      <c r="M10" s="8" t="n">
        <v>3</v>
      </c>
      <c r="N10" s="8" t="n">
        <v>0</v>
      </c>
      <c r="O10" s="8">
        <f>M10+N10</f>
        <v/>
      </c>
      <c r="P10" s="8">
        <f>IF(L10=0,100,O10/L10*100)</f>
        <v/>
      </c>
      <c r="Q10" s="11" t="inlineStr"/>
    </row>
    <row r="11">
      <c r="B11" s="4" t="n">
        <v>4</v>
      </c>
      <c r="C11" s="5" t="inlineStr">
        <is>
          <t>HAERUDDIN</t>
        </is>
      </c>
      <c r="D11" s="6" t="inlineStr">
        <is>
          <t>520522030054</t>
        </is>
      </c>
      <c r="E11" s="5" t="inlineStr">
        <is>
          <t>Nurlailah</t>
        </is>
      </c>
      <c r="F11" s="6" t="inlineStr">
        <is>
          <t>520525110108</t>
        </is>
      </c>
      <c r="G11" s="4" t="inlineStr">
        <is>
          <t>020</t>
        </is>
      </c>
      <c r="H11" s="4" t="inlineStr">
        <is>
          <t>010</t>
        </is>
      </c>
      <c r="I11" s="4" t="inlineStr">
        <is>
          <t>000900</t>
        </is>
      </c>
      <c r="J11" s="4" t="n">
        <v>96</v>
      </c>
      <c r="K11" s="4" t="n">
        <v>36</v>
      </c>
      <c r="L11" s="4">
        <f>J11+K11</f>
        <v/>
      </c>
      <c r="M11" s="4" t="n">
        <v>107</v>
      </c>
      <c r="N11" s="4" t="n">
        <v>39</v>
      </c>
      <c r="O11" s="4">
        <f>M11+N11</f>
        <v/>
      </c>
      <c r="P11" s="4">
        <f>IF(L11=0,100,O11/L11*100)</f>
        <v/>
      </c>
      <c r="Q11" s="7" t="inlineStr">
        <is>
          <t>PRIORITAS</t>
        </is>
      </c>
    </row>
    <row r="12">
      <c r="B12" s="12" t="inlineStr">
        <is>
          <t>Jumlah</t>
        </is>
      </c>
      <c r="C12" s="13" t="n"/>
      <c r="D12" s="13" t="n"/>
      <c r="E12" s="13" t="n"/>
      <c r="F12" s="13" t="n"/>
      <c r="G12" s="13" t="n"/>
      <c r="H12" s="13" t="n"/>
      <c r="I12" s="14" t="n"/>
      <c r="J12" s="15">
        <f>SUM(J8:J11)</f>
        <v/>
      </c>
      <c r="K12" s="15">
        <f>SUM(K8:K11)</f>
        <v/>
      </c>
      <c r="L12" s="12">
        <f>SUM(L8:L11)</f>
        <v/>
      </c>
      <c r="M12" s="15">
        <f>SUM(M8:M11)</f>
        <v/>
      </c>
      <c r="N12" s="15">
        <f>SUM(N8:N11)</f>
        <v/>
      </c>
      <c r="O12" s="12">
        <f>SUM(O8:O11)</f>
        <v/>
      </c>
      <c r="P12" s="12">
        <f>IF(L12=0,100,O12/L12*100)</f>
        <v/>
      </c>
      <c r="Q12" s="10" t="inlineStr"/>
    </row>
  </sheetData>
  <mergeCells count="13">
    <mergeCell ref="B12:I12"/>
    <mergeCell ref="G5:G6"/>
    <mergeCell ref="P5:P6"/>
    <mergeCell ref="J5:L5"/>
    <mergeCell ref="H5:H6"/>
    <mergeCell ref="Q5:Q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1"/>
    <row r="2" ht="24" customHeight="1">
      <c r="B2" s="1" t="inlineStr">
        <is>
          <t>Beban Kerja Petugas Lapangan SE2026 - LK PPK Termin 1 (BATCH 2)</t>
        </is>
      </c>
    </row>
    <row r="3" ht="24" customHeight="1">
      <c r="B3" s="1" t="inlineStr">
        <is>
          <t>PPL: Rachmad Soebari  |  PML: HAERUDDIN  |  Kab. Dompu, NTB</t>
        </is>
      </c>
    </row>
    <row r="4"/>
    <row r="5" ht="30.95" customHeight="1">
      <c r="B5" s="2" t="inlineStr">
        <is>
          <t>No</t>
        </is>
      </c>
      <c r="C5" s="2" t="inlineStr">
        <is>
          <t>PML</t>
        </is>
      </c>
      <c r="D5" s="14" t="n"/>
      <c r="E5" s="2" t="inlineStr">
        <is>
          <t>PPL</t>
        </is>
      </c>
      <c r="F5" s="14" t="n"/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K5" s="13" t="n"/>
      <c r="L5" s="14" t="n"/>
      <c r="M5" s="2" t="inlineStr">
        <is>
          <t>Realisasi</t>
        </is>
      </c>
      <c r="N5" s="13" t="n"/>
      <c r="O5" s="14" t="n"/>
      <c r="P5" s="2" t="inlineStr">
        <is>
          <t>Persentase (%)</t>
        </is>
      </c>
      <c r="Q5" s="2" t="inlineStr">
        <is>
          <t>Keterangan</t>
        </is>
      </c>
    </row>
    <row r="6" ht="20.45" customHeight="1">
      <c r="B6" s="18" t="n"/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G6" s="18" t="n"/>
      <c r="H6" s="18" t="n"/>
      <c r="I6" s="18" t="n"/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(BKU)</t>
        </is>
      </c>
      <c r="O6" s="2" t="inlineStr">
        <is>
          <t>Jumlah</t>
        </is>
      </c>
      <c r="P6" s="18" t="n"/>
      <c r="Q6" s="18" t="n"/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HAERUDDIN</t>
        </is>
      </c>
      <c r="D8" s="10" t="inlineStr">
        <is>
          <t>520522030054</t>
        </is>
      </c>
      <c r="E8" s="9" t="inlineStr">
        <is>
          <t>Rachmad Soebari</t>
        </is>
      </c>
      <c r="F8" s="10" t="inlineStr">
        <is>
          <t>520522030024</t>
        </is>
      </c>
      <c r="G8" s="8" t="inlineStr">
        <is>
          <t>020</t>
        </is>
      </c>
      <c r="H8" s="8" t="inlineStr">
        <is>
          <t>008</t>
        </is>
      </c>
      <c r="I8" s="8" t="inlineStr">
        <is>
          <t>000100</t>
        </is>
      </c>
      <c r="J8" s="8" t="n">
        <v>100</v>
      </c>
      <c r="K8" s="8" t="n">
        <v>49</v>
      </c>
      <c r="L8" s="8">
        <f>J8+K8</f>
        <v/>
      </c>
      <c r="M8" s="8" t="n">
        <v>0</v>
      </c>
      <c r="N8" s="8" t="n">
        <v>3</v>
      </c>
      <c r="O8" s="8">
        <f>M8+N8</f>
        <v/>
      </c>
      <c r="P8" s="8">
        <f>IF(L8=0,100,O8/L8*100)</f>
        <v/>
      </c>
      <c r="Q8" s="11" t="inlineStr"/>
    </row>
    <row r="9">
      <c r="B9" s="4" t="n">
        <v>2</v>
      </c>
      <c r="C9" s="5" t="inlineStr">
        <is>
          <t>HAERUDDIN</t>
        </is>
      </c>
      <c r="D9" s="6" t="inlineStr">
        <is>
          <t>520522030054</t>
        </is>
      </c>
      <c r="E9" s="5" t="inlineStr">
        <is>
          <t>Rachmad Soebari</t>
        </is>
      </c>
      <c r="F9" s="6" t="inlineStr">
        <is>
          <t>520522030024</t>
        </is>
      </c>
      <c r="G9" s="4" t="inlineStr">
        <is>
          <t>020</t>
        </is>
      </c>
      <c r="H9" s="4" t="inlineStr">
        <is>
          <t>008</t>
        </is>
      </c>
      <c r="I9" s="4" t="inlineStr">
        <is>
          <t>001300</t>
        </is>
      </c>
      <c r="J9" s="4" t="n">
        <v>64</v>
      </c>
      <c r="K9" s="4" t="n">
        <v>38</v>
      </c>
      <c r="L9" s="4">
        <f>J9+K9</f>
        <v/>
      </c>
      <c r="M9" s="4" t="n">
        <v>64</v>
      </c>
      <c r="N9" s="4" t="n">
        <v>30</v>
      </c>
      <c r="O9" s="4">
        <f>M9+N9</f>
        <v/>
      </c>
      <c r="P9" s="4">
        <f>IF(L9=0,100,O9/L9*100)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HAERUDDIN</t>
        </is>
      </c>
      <c r="D10" s="6" t="inlineStr">
        <is>
          <t>520522030054</t>
        </is>
      </c>
      <c r="E10" s="5" t="inlineStr">
        <is>
          <t>Rachmad Soebari</t>
        </is>
      </c>
      <c r="F10" s="6" t="inlineStr">
        <is>
          <t>520522030024</t>
        </is>
      </c>
      <c r="G10" s="4" t="inlineStr">
        <is>
          <t>020</t>
        </is>
      </c>
      <c r="H10" s="4" t="inlineStr">
        <is>
          <t>008</t>
        </is>
      </c>
      <c r="I10" s="4" t="inlineStr">
        <is>
          <t>001500</t>
        </is>
      </c>
      <c r="J10" s="4" t="n">
        <v>156</v>
      </c>
      <c r="K10" s="4" t="n">
        <v>90</v>
      </c>
      <c r="L10" s="4">
        <f>J10+K10</f>
        <v/>
      </c>
      <c r="M10" s="4" t="n">
        <v>161</v>
      </c>
      <c r="N10" s="4" t="n">
        <v>68</v>
      </c>
      <c r="O10" s="4">
        <f>M10+N10</f>
        <v/>
      </c>
      <c r="P10" s="4">
        <f>IF(L10=0,100,O10/L10*100)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HAERUDDIN</t>
        </is>
      </c>
      <c r="D11" s="10" t="inlineStr">
        <is>
          <t>520522030054</t>
        </is>
      </c>
      <c r="E11" s="9" t="inlineStr">
        <is>
          <t>Rachmad Soebari</t>
        </is>
      </c>
      <c r="F11" s="10" t="inlineStr">
        <is>
          <t>520522030024</t>
        </is>
      </c>
      <c r="G11" s="8" t="inlineStr">
        <is>
          <t>020</t>
        </is>
      </c>
      <c r="H11" s="8" t="inlineStr">
        <is>
          <t>008</t>
        </is>
      </c>
      <c r="I11" s="8" t="inlineStr">
        <is>
          <t>001600</t>
        </is>
      </c>
      <c r="J11" s="8" t="n">
        <v>53</v>
      </c>
      <c r="K11" s="8" t="n">
        <v>59</v>
      </c>
      <c r="L11" s="8">
        <f>J11+K11</f>
        <v/>
      </c>
      <c r="M11" s="8" t="n">
        <v>0</v>
      </c>
      <c r="N11" s="8" t="n">
        <v>0</v>
      </c>
      <c r="O11" s="8">
        <f>M11+N11</f>
        <v/>
      </c>
      <c r="P11" s="8">
        <f>IF(L11=0,100,O11/L11*100)</f>
        <v/>
      </c>
      <c r="Q11" s="11" t="inlineStr"/>
    </row>
    <row r="12">
      <c r="B12" s="12" t="inlineStr">
        <is>
          <t>Jumlah</t>
        </is>
      </c>
      <c r="C12" s="13" t="n"/>
      <c r="D12" s="13" t="n"/>
      <c r="E12" s="13" t="n"/>
      <c r="F12" s="13" t="n"/>
      <c r="G12" s="13" t="n"/>
      <c r="H12" s="13" t="n"/>
      <c r="I12" s="14" t="n"/>
      <c r="J12" s="15">
        <f>SUM(J8:J11)</f>
        <v/>
      </c>
      <c r="K12" s="15">
        <f>SUM(K8:K11)</f>
        <v/>
      </c>
      <c r="L12" s="12">
        <f>SUM(L8:L11)</f>
        <v/>
      </c>
      <c r="M12" s="15">
        <f>SUM(M8:M11)</f>
        <v/>
      </c>
      <c r="N12" s="15">
        <f>SUM(N8:N11)</f>
        <v/>
      </c>
      <c r="O12" s="12">
        <f>SUM(O8:O11)</f>
        <v/>
      </c>
      <c r="P12" s="12">
        <f>IF(L12=0,100,O12/L12*100)</f>
        <v/>
      </c>
      <c r="Q12" s="10" t="inlineStr"/>
    </row>
  </sheetData>
  <mergeCells count="13">
    <mergeCell ref="B12:I12"/>
    <mergeCell ref="G5:G6"/>
    <mergeCell ref="P5:P6"/>
    <mergeCell ref="J5:L5"/>
    <mergeCell ref="H5:H6"/>
    <mergeCell ref="Q5:Q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1"/>
    <row r="2" ht="24" customHeight="1">
      <c r="B2" s="1" t="inlineStr">
        <is>
          <t>Beban Kerja Petugas Lapangan SE2026 - LK PPK Termin 1 (BATCH 2)</t>
        </is>
      </c>
    </row>
    <row r="3" ht="24" customHeight="1">
      <c r="B3" s="1" t="inlineStr">
        <is>
          <t>PPL: Sri Handayani  |  PML: HAERUDDIN  |  Kab. Dompu, NTB</t>
        </is>
      </c>
    </row>
    <row r="4"/>
    <row r="5" ht="30.95" customHeight="1">
      <c r="B5" s="2" t="inlineStr">
        <is>
          <t>No</t>
        </is>
      </c>
      <c r="C5" s="2" t="inlineStr">
        <is>
          <t>PML</t>
        </is>
      </c>
      <c r="D5" s="14" t="n"/>
      <c r="E5" s="2" t="inlineStr">
        <is>
          <t>PPL</t>
        </is>
      </c>
      <c r="F5" s="14" t="n"/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K5" s="13" t="n"/>
      <c r="L5" s="14" t="n"/>
      <c r="M5" s="2" t="inlineStr">
        <is>
          <t>Realisasi</t>
        </is>
      </c>
      <c r="N5" s="13" t="n"/>
      <c r="O5" s="14" t="n"/>
      <c r="P5" s="2" t="inlineStr">
        <is>
          <t>Persentase (%)</t>
        </is>
      </c>
      <c r="Q5" s="2" t="inlineStr">
        <is>
          <t>Keterangan</t>
        </is>
      </c>
    </row>
    <row r="6" ht="20.45" customHeight="1">
      <c r="B6" s="18" t="n"/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G6" s="18" t="n"/>
      <c r="H6" s="18" t="n"/>
      <c r="I6" s="18" t="n"/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(BKU)</t>
        </is>
      </c>
      <c r="O6" s="2" t="inlineStr">
        <is>
          <t>Jumlah</t>
        </is>
      </c>
      <c r="P6" s="18" t="n"/>
      <c r="Q6" s="18" t="n"/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HAERUDDIN</t>
        </is>
      </c>
      <c r="D8" s="10" t="inlineStr">
        <is>
          <t>520522030054</t>
        </is>
      </c>
      <c r="E8" s="9" t="inlineStr">
        <is>
          <t>Sri Handayani</t>
        </is>
      </c>
      <c r="F8" s="10" t="inlineStr">
        <is>
          <t>520526050218</t>
        </is>
      </c>
      <c r="G8" s="8" t="inlineStr">
        <is>
          <t>020</t>
        </is>
      </c>
      <c r="H8" s="8" t="inlineStr">
        <is>
          <t>002</t>
        </is>
      </c>
      <c r="I8" s="8" t="inlineStr">
        <is>
          <t>001500</t>
        </is>
      </c>
      <c r="J8" s="8" t="n">
        <v>122</v>
      </c>
      <c r="K8" s="8" t="n">
        <v>80</v>
      </c>
      <c r="L8" s="8">
        <f>J8+K8</f>
        <v/>
      </c>
      <c r="M8" s="8" t="n">
        <v>7</v>
      </c>
      <c r="N8" s="8" t="n">
        <v>9</v>
      </c>
      <c r="O8" s="8">
        <f>M8+N8</f>
        <v/>
      </c>
      <c r="P8" s="8">
        <f>IF(L8=0,100,O8/L8*100)</f>
        <v/>
      </c>
      <c r="Q8" s="11" t="inlineStr"/>
    </row>
    <row r="9">
      <c r="B9" s="8" t="n">
        <v>2</v>
      </c>
      <c r="C9" s="9" t="inlineStr">
        <is>
          <t>HAERUDDIN</t>
        </is>
      </c>
      <c r="D9" s="10" t="inlineStr">
        <is>
          <t>520522030054</t>
        </is>
      </c>
      <c r="E9" s="9" t="inlineStr">
        <is>
          <t>Sri Handayani</t>
        </is>
      </c>
      <c r="F9" s="10" t="inlineStr">
        <is>
          <t>520526050218</t>
        </is>
      </c>
      <c r="G9" s="8" t="inlineStr">
        <is>
          <t>020</t>
        </is>
      </c>
      <c r="H9" s="8" t="inlineStr">
        <is>
          <t>008</t>
        </is>
      </c>
      <c r="I9" s="8" t="inlineStr">
        <is>
          <t>000300</t>
        </is>
      </c>
      <c r="J9" s="8" t="n">
        <v>62</v>
      </c>
      <c r="K9" s="8" t="n">
        <v>40</v>
      </c>
      <c r="L9" s="8">
        <f>J9+K9</f>
        <v/>
      </c>
      <c r="M9" s="8" t="n">
        <v>54</v>
      </c>
      <c r="N9" s="8" t="n">
        <v>19</v>
      </c>
      <c r="O9" s="8">
        <f>M9+N9</f>
        <v/>
      </c>
      <c r="P9" s="8">
        <f>IF(L9=0,100,O9/L9*100)</f>
        <v/>
      </c>
      <c r="Q9" s="11" t="inlineStr"/>
    </row>
    <row r="10">
      <c r="B10" s="4" t="n">
        <v>3</v>
      </c>
      <c r="C10" s="5" t="inlineStr">
        <is>
          <t>HAERUDDIN</t>
        </is>
      </c>
      <c r="D10" s="6" t="inlineStr">
        <is>
          <t>520522030054</t>
        </is>
      </c>
      <c r="E10" s="5" t="inlineStr">
        <is>
          <t>Sri Handayani</t>
        </is>
      </c>
      <c r="F10" s="6" t="inlineStr">
        <is>
          <t>520526050218</t>
        </is>
      </c>
      <c r="G10" s="4" t="inlineStr">
        <is>
          <t>020</t>
        </is>
      </c>
      <c r="H10" s="4" t="inlineStr">
        <is>
          <t>008</t>
        </is>
      </c>
      <c r="I10" s="4" t="inlineStr">
        <is>
          <t>000400</t>
        </is>
      </c>
      <c r="J10" s="4" t="n">
        <v>41</v>
      </c>
      <c r="K10" s="4" t="n">
        <v>25</v>
      </c>
      <c r="L10" s="4">
        <f>J10+K10</f>
        <v/>
      </c>
      <c r="M10" s="4" t="n">
        <v>50</v>
      </c>
      <c r="N10" s="4" t="n">
        <v>19</v>
      </c>
      <c r="O10" s="4">
        <f>M10+N10</f>
        <v/>
      </c>
      <c r="P10" s="4">
        <f>IF(L10=0,100,O10/L10*100)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HAERUDDIN</t>
        </is>
      </c>
      <c r="D11" s="6" t="inlineStr">
        <is>
          <t>520522030054</t>
        </is>
      </c>
      <c r="E11" s="5" t="inlineStr">
        <is>
          <t>Sri Handayani</t>
        </is>
      </c>
      <c r="F11" s="6" t="inlineStr">
        <is>
          <t>520526050218</t>
        </is>
      </c>
      <c r="G11" s="4" t="inlineStr">
        <is>
          <t>020</t>
        </is>
      </c>
      <c r="H11" s="4" t="inlineStr">
        <is>
          <t>008</t>
        </is>
      </c>
      <c r="I11" s="4" t="inlineStr">
        <is>
          <t>000800</t>
        </is>
      </c>
      <c r="J11" s="4" t="n">
        <v>139</v>
      </c>
      <c r="K11" s="4" t="n">
        <v>81</v>
      </c>
      <c r="L11" s="4">
        <f>J11+K11</f>
        <v/>
      </c>
      <c r="M11" s="4" t="n">
        <v>161</v>
      </c>
      <c r="N11" s="4" t="n">
        <v>77</v>
      </c>
      <c r="O11" s="4">
        <f>M11+N11</f>
        <v/>
      </c>
      <c r="P11" s="4">
        <f>IF(L11=0,100,O11/L11*100)</f>
        <v/>
      </c>
      <c r="Q11" s="7" t="inlineStr">
        <is>
          <t>PRIORITAS</t>
        </is>
      </c>
    </row>
    <row r="12">
      <c r="B12" s="12" t="inlineStr">
        <is>
          <t>Jumlah</t>
        </is>
      </c>
      <c r="C12" s="13" t="n"/>
      <c r="D12" s="13" t="n"/>
      <c r="E12" s="13" t="n"/>
      <c r="F12" s="13" t="n"/>
      <c r="G12" s="13" t="n"/>
      <c r="H12" s="13" t="n"/>
      <c r="I12" s="14" t="n"/>
      <c r="J12" s="15">
        <f>SUM(J8:J11)</f>
        <v/>
      </c>
      <c r="K12" s="15">
        <f>SUM(K8:K11)</f>
        <v/>
      </c>
      <c r="L12" s="12">
        <f>SUM(L8:L11)</f>
        <v/>
      </c>
      <c r="M12" s="15">
        <f>SUM(M8:M11)</f>
        <v/>
      </c>
      <c r="N12" s="15">
        <f>SUM(N8:N11)</f>
        <v/>
      </c>
      <c r="O12" s="12">
        <f>SUM(O8:O11)</f>
        <v/>
      </c>
      <c r="P12" s="12">
        <f>IF(L12=0,100,O12/L12*100)</f>
        <v/>
      </c>
      <c r="Q12" s="10" t="inlineStr"/>
    </row>
  </sheetData>
  <mergeCells count="13">
    <mergeCell ref="B12:I12"/>
    <mergeCell ref="G5:G6"/>
    <mergeCell ref="P5:P6"/>
    <mergeCell ref="J5:L5"/>
    <mergeCell ref="H5:H6"/>
    <mergeCell ref="Q5:Q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1"/>
    <row r="2" ht="24" customHeight="1">
      <c r="B2" s="1" t="inlineStr">
        <is>
          <t>Beban Kerja Petugas Lapangan SE2026 - LK PPK Termin 1 (BATCH 2)</t>
        </is>
      </c>
    </row>
    <row r="3" ht="24" customHeight="1">
      <c r="B3" s="1" t="inlineStr">
        <is>
          <t>PPL: Triana Amalia ND  |  PML: HAERUDDIN  |  Kab. Dompu, NTB</t>
        </is>
      </c>
    </row>
    <row r="4"/>
    <row r="5" ht="30.95" customHeight="1">
      <c r="B5" s="2" t="inlineStr">
        <is>
          <t>No</t>
        </is>
      </c>
      <c r="C5" s="2" t="inlineStr">
        <is>
          <t>PML</t>
        </is>
      </c>
      <c r="D5" s="14" t="n"/>
      <c r="E5" s="2" t="inlineStr">
        <is>
          <t>PPL</t>
        </is>
      </c>
      <c r="F5" s="14" t="n"/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K5" s="13" t="n"/>
      <c r="L5" s="14" t="n"/>
      <c r="M5" s="2" t="inlineStr">
        <is>
          <t>Realisasi</t>
        </is>
      </c>
      <c r="N5" s="13" t="n"/>
      <c r="O5" s="14" t="n"/>
      <c r="P5" s="2" t="inlineStr">
        <is>
          <t>Persentase (%)</t>
        </is>
      </c>
      <c r="Q5" s="2" t="inlineStr">
        <is>
          <t>Keterangan</t>
        </is>
      </c>
    </row>
    <row r="6" ht="20.45" customHeight="1">
      <c r="B6" s="18" t="n"/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G6" s="18" t="n"/>
      <c r="H6" s="18" t="n"/>
      <c r="I6" s="18" t="n"/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(BKU)</t>
        </is>
      </c>
      <c r="O6" s="2" t="inlineStr">
        <is>
          <t>Jumlah</t>
        </is>
      </c>
      <c r="P6" s="18" t="n"/>
      <c r="Q6" s="18" t="n"/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HAERUDDIN</t>
        </is>
      </c>
      <c r="D8" s="6" t="inlineStr">
        <is>
          <t>520522030054</t>
        </is>
      </c>
      <c r="E8" s="5" t="inlineStr">
        <is>
          <t>Triana Amalia ND</t>
        </is>
      </c>
      <c r="F8" s="6" t="inlineStr">
        <is>
          <t>520526050243</t>
        </is>
      </c>
      <c r="G8" s="4" t="inlineStr">
        <is>
          <t>020</t>
        </is>
      </c>
      <c r="H8" s="4" t="inlineStr">
        <is>
          <t>002</t>
        </is>
      </c>
      <c r="I8" s="4" t="inlineStr">
        <is>
          <t>001100</t>
        </is>
      </c>
      <c r="J8" s="4" t="n">
        <v>65</v>
      </c>
      <c r="K8" s="4" t="n">
        <v>21</v>
      </c>
      <c r="L8" s="4">
        <f>J8+K8</f>
        <v/>
      </c>
      <c r="M8" s="4" t="n">
        <v>76</v>
      </c>
      <c r="N8" s="4" t="n">
        <v>20</v>
      </c>
      <c r="O8" s="4">
        <f>M8+N8</f>
        <v/>
      </c>
      <c r="P8" s="4">
        <f>IF(L8=0,100,O8/L8*100)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HAERUDDIN</t>
        </is>
      </c>
      <c r="D9" s="6" t="inlineStr">
        <is>
          <t>520522030054</t>
        </is>
      </c>
      <c r="E9" s="5" t="inlineStr">
        <is>
          <t>Triana Amalia ND</t>
        </is>
      </c>
      <c r="F9" s="6" t="inlineStr">
        <is>
          <t>520526050243</t>
        </is>
      </c>
      <c r="G9" s="4" t="inlineStr">
        <is>
          <t>020</t>
        </is>
      </c>
      <c r="H9" s="4" t="inlineStr">
        <is>
          <t>002</t>
        </is>
      </c>
      <c r="I9" s="4" t="inlineStr">
        <is>
          <t>001600</t>
        </is>
      </c>
      <c r="J9" s="4" t="n">
        <v>108</v>
      </c>
      <c r="K9" s="4" t="n">
        <v>22</v>
      </c>
      <c r="L9" s="4">
        <f>J9+K9</f>
        <v/>
      </c>
      <c r="M9" s="4" t="n">
        <v>116</v>
      </c>
      <c r="N9" s="4" t="n">
        <v>26</v>
      </c>
      <c r="O9" s="4">
        <f>M9+N9</f>
        <v/>
      </c>
      <c r="P9" s="4">
        <f>IF(L9=0,100,O9/L9*100)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HAERUDDIN</t>
        </is>
      </c>
      <c r="D10" s="10" t="inlineStr">
        <is>
          <t>520522030054</t>
        </is>
      </c>
      <c r="E10" s="9" t="inlineStr">
        <is>
          <t>Triana Amalia ND</t>
        </is>
      </c>
      <c r="F10" s="10" t="inlineStr">
        <is>
          <t>520526050243</t>
        </is>
      </c>
      <c r="G10" s="8" t="inlineStr">
        <is>
          <t>020</t>
        </is>
      </c>
      <c r="H10" s="8" t="inlineStr">
        <is>
          <t>008</t>
        </is>
      </c>
      <c r="I10" s="8" t="inlineStr">
        <is>
          <t>000200</t>
        </is>
      </c>
      <c r="J10" s="8" t="n">
        <v>145</v>
      </c>
      <c r="K10" s="8" t="n">
        <v>31</v>
      </c>
      <c r="L10" s="8">
        <f>J10+K10</f>
        <v/>
      </c>
      <c r="M10" s="8" t="n">
        <v>0</v>
      </c>
      <c r="N10" s="8" t="n">
        <v>0</v>
      </c>
      <c r="O10" s="8">
        <f>M10+N10</f>
        <v/>
      </c>
      <c r="P10" s="8">
        <f>IF(L10=0,100,O10/L10*100)</f>
        <v/>
      </c>
      <c r="Q10" s="11" t="inlineStr"/>
    </row>
    <row r="11">
      <c r="B11" s="8" t="n">
        <v>4</v>
      </c>
      <c r="C11" s="9" t="inlineStr">
        <is>
          <t>HAERUDDIN</t>
        </is>
      </c>
      <c r="D11" s="10" t="inlineStr">
        <is>
          <t>520522030054</t>
        </is>
      </c>
      <c r="E11" s="9" t="inlineStr">
        <is>
          <t>Triana Amalia ND</t>
        </is>
      </c>
      <c r="F11" s="10" t="inlineStr">
        <is>
          <t>520526050243</t>
        </is>
      </c>
      <c r="G11" s="8" t="inlineStr">
        <is>
          <t>020</t>
        </is>
      </c>
      <c r="H11" s="8" t="inlineStr">
        <is>
          <t>008</t>
        </is>
      </c>
      <c r="I11" s="8" t="inlineStr">
        <is>
          <t>000600</t>
        </is>
      </c>
      <c r="J11" s="8" t="n">
        <v>29</v>
      </c>
      <c r="K11" s="8" t="n">
        <v>11</v>
      </c>
      <c r="L11" s="8">
        <f>J11+K11</f>
        <v/>
      </c>
      <c r="M11" s="8" t="n">
        <v>31</v>
      </c>
      <c r="N11" s="8" t="n">
        <v>10</v>
      </c>
      <c r="O11" s="8">
        <f>M11+N11</f>
        <v/>
      </c>
      <c r="P11" s="8">
        <f>IF(L11=0,100,O11/L11*100)</f>
        <v/>
      </c>
      <c r="Q11" s="11" t="inlineStr"/>
    </row>
    <row r="12">
      <c r="B12" s="8" t="n">
        <v>5</v>
      </c>
      <c r="C12" s="9" t="inlineStr">
        <is>
          <t>HAERUDDIN</t>
        </is>
      </c>
      <c r="D12" s="10" t="inlineStr">
        <is>
          <t>520522030054</t>
        </is>
      </c>
      <c r="E12" s="9" t="inlineStr">
        <is>
          <t>Triana Amalia ND</t>
        </is>
      </c>
      <c r="F12" s="10" t="inlineStr">
        <is>
          <t>520526050243</t>
        </is>
      </c>
      <c r="G12" s="8" t="inlineStr">
        <is>
          <t>020</t>
        </is>
      </c>
      <c r="H12" s="8" t="inlineStr">
        <is>
          <t>008</t>
        </is>
      </c>
      <c r="I12" s="8" t="inlineStr">
        <is>
          <t>000700</t>
        </is>
      </c>
      <c r="J12" s="8" t="n">
        <v>129</v>
      </c>
      <c r="K12" s="8" t="n">
        <v>39</v>
      </c>
      <c r="L12" s="8">
        <f>J12+K12</f>
        <v/>
      </c>
      <c r="M12" s="8" t="n">
        <v>24</v>
      </c>
      <c r="N12" s="8" t="n">
        <v>21</v>
      </c>
      <c r="O12" s="8">
        <f>M12+N12</f>
        <v/>
      </c>
      <c r="P12" s="8">
        <f>IF(L12=0,100,O12/L12*100)</f>
        <v/>
      </c>
      <c r="Q12" s="11" t="inlineStr"/>
    </row>
    <row r="13">
      <c r="B13" s="12" t="inlineStr">
        <is>
          <t>Jumlah</t>
        </is>
      </c>
      <c r="C13" s="13" t="n"/>
      <c r="D13" s="13" t="n"/>
      <c r="E13" s="13" t="n"/>
      <c r="F13" s="13" t="n"/>
      <c r="G13" s="13" t="n"/>
      <c r="H13" s="13" t="n"/>
      <c r="I13" s="14" t="n"/>
      <c r="J13" s="15">
        <f>SUM(J8:J12)</f>
        <v/>
      </c>
      <c r="K13" s="15">
        <f>SUM(K8:K12)</f>
        <v/>
      </c>
      <c r="L13" s="12">
        <f>SUM(L8:L12)</f>
        <v/>
      </c>
      <c r="M13" s="15">
        <f>SUM(M8:M12)</f>
        <v/>
      </c>
      <c r="N13" s="15">
        <f>SUM(N8:N12)</f>
        <v/>
      </c>
      <c r="O13" s="12">
        <f>SUM(O8:O12)</f>
        <v/>
      </c>
      <c r="P13" s="12">
        <f>IF(L13=0,100,O13/L13*100)</f>
        <v/>
      </c>
      <c r="Q13" s="10" t="inlineStr"/>
    </row>
  </sheetData>
  <mergeCells count="13">
    <mergeCell ref="G5:G6"/>
    <mergeCell ref="P5:P6"/>
    <mergeCell ref="J5:L5"/>
    <mergeCell ref="H5:H6"/>
    <mergeCell ref="Q5:Q6"/>
    <mergeCell ref="B13:I13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1"/>
    <row r="2" ht="24" customHeight="1">
      <c r="B2" s="1" t="inlineStr">
        <is>
          <t>Beban Kerja Petugas Lapangan SE2026 - LK PPK Termin 1 (BATCH 2)</t>
        </is>
      </c>
    </row>
    <row r="3" ht="24" customHeight="1">
      <c r="B3" s="1" t="inlineStr">
        <is>
          <t>PPL: Amrizal  |  PML: Hanafi  |  Kab. Dompu, NTB</t>
        </is>
      </c>
    </row>
    <row r="4"/>
    <row r="5" ht="30.95" customHeight="1">
      <c r="B5" s="2" t="inlineStr">
        <is>
          <t>No</t>
        </is>
      </c>
      <c r="C5" s="2" t="inlineStr">
        <is>
          <t>PML</t>
        </is>
      </c>
      <c r="D5" s="14" t="n"/>
      <c r="E5" s="2" t="inlineStr">
        <is>
          <t>PPL</t>
        </is>
      </c>
      <c r="F5" s="14" t="n"/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K5" s="13" t="n"/>
      <c r="L5" s="14" t="n"/>
      <c r="M5" s="2" t="inlineStr">
        <is>
          <t>Realisasi</t>
        </is>
      </c>
      <c r="N5" s="13" t="n"/>
      <c r="O5" s="14" t="n"/>
      <c r="P5" s="2" t="inlineStr">
        <is>
          <t>Persentase (%)</t>
        </is>
      </c>
      <c r="Q5" s="2" t="inlineStr">
        <is>
          <t>Keterangan</t>
        </is>
      </c>
    </row>
    <row r="6" ht="20.45" customHeight="1">
      <c r="B6" s="18" t="n"/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G6" s="18" t="n"/>
      <c r="H6" s="18" t="n"/>
      <c r="I6" s="18" t="n"/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(BKU)</t>
        </is>
      </c>
      <c r="O6" s="2" t="inlineStr">
        <is>
          <t>Jumlah</t>
        </is>
      </c>
      <c r="P6" s="18" t="n"/>
      <c r="Q6" s="18" t="n"/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Hanafi</t>
        </is>
      </c>
      <c r="D8" s="10" t="inlineStr">
        <is>
          <t>520522030018</t>
        </is>
      </c>
      <c r="E8" s="9" t="inlineStr">
        <is>
          <t>Amrizal</t>
        </is>
      </c>
      <c r="F8" s="10" t="inlineStr">
        <is>
          <t>520526050193</t>
        </is>
      </c>
      <c r="G8" s="8" t="inlineStr">
        <is>
          <t>010</t>
        </is>
      </c>
      <c r="H8" s="8" t="inlineStr">
        <is>
          <t>004</t>
        </is>
      </c>
      <c r="I8" s="8" t="inlineStr">
        <is>
          <t>000100</t>
        </is>
      </c>
      <c r="J8" s="8" t="n">
        <v>42</v>
      </c>
      <c r="K8" s="8" t="n">
        <v>10</v>
      </c>
      <c r="L8" s="8">
        <f>J8+K8</f>
        <v/>
      </c>
      <c r="M8" s="8" t="n">
        <v>0</v>
      </c>
      <c r="N8" s="8" t="n">
        <v>0</v>
      </c>
      <c r="O8" s="8">
        <f>M8+N8</f>
        <v/>
      </c>
      <c r="P8" s="8">
        <f>IF(L8=0,100,O8/L8*100)</f>
        <v/>
      </c>
      <c r="Q8" s="11" t="inlineStr"/>
    </row>
    <row r="9">
      <c r="B9" s="8" t="n">
        <v>2</v>
      </c>
      <c r="C9" s="9" t="inlineStr">
        <is>
          <t>Hanafi</t>
        </is>
      </c>
      <c r="D9" s="10" t="inlineStr">
        <is>
          <t>520522030018</t>
        </is>
      </c>
      <c r="E9" s="9" t="inlineStr">
        <is>
          <t>Amrizal</t>
        </is>
      </c>
      <c r="F9" s="10" t="inlineStr">
        <is>
          <t>520526050193</t>
        </is>
      </c>
      <c r="G9" s="8" t="inlineStr">
        <is>
          <t>010</t>
        </is>
      </c>
      <c r="H9" s="8" t="inlineStr">
        <is>
          <t>004</t>
        </is>
      </c>
      <c r="I9" s="8" t="inlineStr">
        <is>
          <t>000400</t>
        </is>
      </c>
      <c r="J9" s="8" t="n">
        <v>60</v>
      </c>
      <c r="K9" s="8" t="n">
        <v>20</v>
      </c>
      <c r="L9" s="8">
        <f>J9+K9</f>
        <v/>
      </c>
      <c r="M9" s="8" t="n">
        <v>0</v>
      </c>
      <c r="N9" s="8" t="n">
        <v>0</v>
      </c>
      <c r="O9" s="8">
        <f>M9+N9</f>
        <v/>
      </c>
      <c r="P9" s="8">
        <f>IF(L9=0,100,O9/L9*100)</f>
        <v/>
      </c>
      <c r="Q9" s="11" t="inlineStr"/>
    </row>
    <row r="10">
      <c r="B10" s="8" t="n">
        <v>3</v>
      </c>
      <c r="C10" s="9" t="inlineStr">
        <is>
          <t>Hanafi</t>
        </is>
      </c>
      <c r="D10" s="10" t="inlineStr">
        <is>
          <t>520522030018</t>
        </is>
      </c>
      <c r="E10" s="9" t="inlineStr">
        <is>
          <t>Amrizal</t>
        </is>
      </c>
      <c r="F10" s="10" t="inlineStr">
        <is>
          <t>520526050193</t>
        </is>
      </c>
      <c r="G10" s="8" t="inlineStr">
        <is>
          <t>010</t>
        </is>
      </c>
      <c r="H10" s="8" t="inlineStr">
        <is>
          <t>004</t>
        </is>
      </c>
      <c r="I10" s="8" t="inlineStr">
        <is>
          <t>001000</t>
        </is>
      </c>
      <c r="J10" s="8" t="n">
        <v>76</v>
      </c>
      <c r="K10" s="8" t="n">
        <v>32</v>
      </c>
      <c r="L10" s="8">
        <f>J10+K10</f>
        <v/>
      </c>
      <c r="M10" s="8" t="n">
        <v>0</v>
      </c>
      <c r="N10" s="8" t="n">
        <v>0</v>
      </c>
      <c r="O10" s="8">
        <f>M10+N10</f>
        <v/>
      </c>
      <c r="P10" s="8">
        <f>IF(L10=0,100,O10/L10*100)</f>
        <v/>
      </c>
      <c r="Q10" s="11" t="inlineStr"/>
    </row>
    <row r="11">
      <c r="B11" s="4" t="n">
        <v>4</v>
      </c>
      <c r="C11" s="5" t="inlineStr">
        <is>
          <t>Hanafi</t>
        </is>
      </c>
      <c r="D11" s="6" t="inlineStr">
        <is>
          <t>520522030018</t>
        </is>
      </c>
      <c r="E11" s="5" t="inlineStr">
        <is>
          <t>Amrizal</t>
        </is>
      </c>
      <c r="F11" s="6" t="inlineStr">
        <is>
          <t>520526050193</t>
        </is>
      </c>
      <c r="G11" s="4" t="inlineStr">
        <is>
          <t>010</t>
        </is>
      </c>
      <c r="H11" s="4" t="inlineStr">
        <is>
          <t>005</t>
        </is>
      </c>
      <c r="I11" s="4" t="inlineStr">
        <is>
          <t>000200</t>
        </is>
      </c>
      <c r="J11" s="4" t="n">
        <v>29</v>
      </c>
      <c r="K11" s="4" t="n">
        <v>15</v>
      </c>
      <c r="L11" s="4">
        <f>J11+K11</f>
        <v/>
      </c>
      <c r="M11" s="4" t="n">
        <v>44</v>
      </c>
      <c r="N11" s="4" t="n">
        <v>17</v>
      </c>
      <c r="O11" s="4">
        <f>M11+N11</f>
        <v/>
      </c>
      <c r="P11" s="4">
        <f>IF(L11=0,100,O11/L11*100)</f>
        <v/>
      </c>
      <c r="Q11" s="7" t="inlineStr">
        <is>
          <t>PRIORITAS</t>
        </is>
      </c>
    </row>
    <row r="12">
      <c r="B12" s="4" t="n">
        <v>5</v>
      </c>
      <c r="C12" s="5" t="inlineStr">
        <is>
          <t>Hanafi</t>
        </is>
      </c>
      <c r="D12" s="6" t="inlineStr">
        <is>
          <t>520522030018</t>
        </is>
      </c>
      <c r="E12" s="5" t="inlineStr">
        <is>
          <t>Amrizal</t>
        </is>
      </c>
      <c r="F12" s="6" t="inlineStr">
        <is>
          <t>520526050193</t>
        </is>
      </c>
      <c r="G12" s="4" t="inlineStr">
        <is>
          <t>010</t>
        </is>
      </c>
      <c r="H12" s="4" t="inlineStr">
        <is>
          <t>005</t>
        </is>
      </c>
      <c r="I12" s="4" t="inlineStr">
        <is>
          <t>001000</t>
        </is>
      </c>
      <c r="J12" s="4" t="n">
        <v>22</v>
      </c>
      <c r="K12" s="4" t="n">
        <v>14</v>
      </c>
      <c r="L12" s="4">
        <f>J12+K12</f>
        <v/>
      </c>
      <c r="M12" s="4" t="n">
        <v>71</v>
      </c>
      <c r="N12" s="4" t="n">
        <v>18</v>
      </c>
      <c r="O12" s="4">
        <f>M12+N12</f>
        <v/>
      </c>
      <c r="P12" s="4">
        <f>IF(L12=0,100,O12/L12*100)</f>
        <v/>
      </c>
      <c r="Q12" s="7" t="inlineStr">
        <is>
          <t>PRIORITAS</t>
        </is>
      </c>
    </row>
    <row r="13">
      <c r="B13" s="4" t="n">
        <v>6</v>
      </c>
      <c r="C13" s="5" t="inlineStr">
        <is>
          <t>Hanafi</t>
        </is>
      </c>
      <c r="D13" s="6" t="inlineStr">
        <is>
          <t>520522030018</t>
        </is>
      </c>
      <c r="E13" s="5" t="inlineStr">
        <is>
          <t>Amrizal</t>
        </is>
      </c>
      <c r="F13" s="6" t="inlineStr">
        <is>
          <t>520526050193</t>
        </is>
      </c>
      <c r="G13" s="4" t="inlineStr">
        <is>
          <t>010</t>
        </is>
      </c>
      <c r="H13" s="4" t="inlineStr">
        <is>
          <t>005</t>
        </is>
      </c>
      <c r="I13" s="4" t="inlineStr">
        <is>
          <t>100100</t>
        </is>
      </c>
      <c r="J13" s="4" t="n">
        <v>0</v>
      </c>
      <c r="K13" s="4" t="n">
        <v>0</v>
      </c>
      <c r="L13" s="4">
        <f>J13+K13</f>
        <v/>
      </c>
      <c r="M13" s="4" t="n">
        <v>2</v>
      </c>
      <c r="N13" s="4" t="n">
        <v>1</v>
      </c>
      <c r="O13" s="4">
        <f>M13+N13</f>
        <v/>
      </c>
      <c r="P13" s="4">
        <f>IF(L13=0,100,O13/L13*100)</f>
        <v/>
      </c>
      <c r="Q13" s="7" t="inlineStr">
        <is>
          <t>PRIORITAS</t>
        </is>
      </c>
    </row>
    <row r="14">
      <c r="B14" s="8" t="n">
        <v>7</v>
      </c>
      <c r="C14" s="9" t="inlineStr">
        <is>
          <t>Hanafi</t>
        </is>
      </c>
      <c r="D14" s="10" t="inlineStr">
        <is>
          <t>520522030018</t>
        </is>
      </c>
      <c r="E14" s="9" t="inlineStr">
        <is>
          <t>Amrizal</t>
        </is>
      </c>
      <c r="F14" s="10" t="inlineStr">
        <is>
          <t>520526050193</t>
        </is>
      </c>
      <c r="G14" s="8" t="inlineStr">
        <is>
          <t>010</t>
        </is>
      </c>
      <c r="H14" s="8" t="inlineStr">
        <is>
          <t>005</t>
        </is>
      </c>
      <c r="I14" s="8" t="inlineStr">
        <is>
          <t>200300</t>
        </is>
      </c>
      <c r="J14" s="8" t="n">
        <v>0</v>
      </c>
      <c r="K14" s="8" t="n">
        <v>0</v>
      </c>
      <c r="L14" s="8">
        <f>J14+K14</f>
        <v/>
      </c>
      <c r="M14" s="8" t="n">
        <v>0</v>
      </c>
      <c r="N14" s="8" t="n">
        <v>0</v>
      </c>
      <c r="O14" s="8">
        <f>M14+N14</f>
        <v/>
      </c>
      <c r="P14" s="8">
        <f>IF(L14=0,100,O14/L14*100)</f>
        <v/>
      </c>
      <c r="Q14" s="11" t="inlineStr"/>
    </row>
    <row r="15">
      <c r="B15" s="4" t="n">
        <v>8</v>
      </c>
      <c r="C15" s="5" t="inlineStr">
        <is>
          <t>Hanafi</t>
        </is>
      </c>
      <c r="D15" s="6" t="inlineStr">
        <is>
          <t>520522030018</t>
        </is>
      </c>
      <c r="E15" s="5" t="inlineStr">
        <is>
          <t>Amrizal</t>
        </is>
      </c>
      <c r="F15" s="6" t="inlineStr">
        <is>
          <t>520526050193</t>
        </is>
      </c>
      <c r="G15" s="4" t="inlineStr">
        <is>
          <t>010</t>
        </is>
      </c>
      <c r="H15" s="4" t="inlineStr">
        <is>
          <t>006</t>
        </is>
      </c>
      <c r="I15" s="4" t="inlineStr">
        <is>
          <t>001100</t>
        </is>
      </c>
      <c r="J15" s="4" t="n">
        <v>62</v>
      </c>
      <c r="K15" s="4" t="n">
        <v>29</v>
      </c>
      <c r="L15" s="4">
        <f>J15+K15</f>
        <v/>
      </c>
      <c r="M15" s="4" t="n">
        <v>56</v>
      </c>
      <c r="N15" s="4" t="n">
        <v>18</v>
      </c>
      <c r="O15" s="4">
        <f>M15+N15</f>
        <v/>
      </c>
      <c r="P15" s="4">
        <f>IF(L15=0,100,O15/L15*100)</f>
        <v/>
      </c>
      <c r="Q15" s="7" t="inlineStr">
        <is>
          <t>PRIORITAS</t>
        </is>
      </c>
    </row>
    <row r="16">
      <c r="B16" s="12" t="inlineStr">
        <is>
          <t>Jumlah</t>
        </is>
      </c>
      <c r="C16" s="13" t="n"/>
      <c r="D16" s="13" t="n"/>
      <c r="E16" s="13" t="n"/>
      <c r="F16" s="13" t="n"/>
      <c r="G16" s="13" t="n"/>
      <c r="H16" s="13" t="n"/>
      <c r="I16" s="14" t="n"/>
      <c r="J16" s="15">
        <f>SUM(J8:J15)</f>
        <v/>
      </c>
      <c r="K16" s="15">
        <f>SUM(K8:K15)</f>
        <v/>
      </c>
      <c r="L16" s="12">
        <f>SUM(L8:L15)</f>
        <v/>
      </c>
      <c r="M16" s="15">
        <f>SUM(M8:M15)</f>
        <v/>
      </c>
      <c r="N16" s="15">
        <f>SUM(N8:N15)</f>
        <v/>
      </c>
      <c r="O16" s="12">
        <f>SUM(O8:O15)</f>
        <v/>
      </c>
      <c r="P16" s="12">
        <f>IF(L16=0,100,O16/L16*100)</f>
        <v/>
      </c>
      <c r="Q16" s="10" t="inlineStr"/>
    </row>
  </sheetData>
  <mergeCells count="13">
    <mergeCell ref="G5:G6"/>
    <mergeCell ref="P5:P6"/>
    <mergeCell ref="J5:L5"/>
    <mergeCell ref="H5:H6"/>
    <mergeCell ref="Q5:Q6"/>
    <mergeCell ref="B16:I1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1"/>
    <row r="2" ht="24" customHeight="1">
      <c r="B2" s="1" t="inlineStr">
        <is>
          <t>Beban Kerja Petugas Lapangan SE2026 - LK PPK Termin 1 (BATCH 2)</t>
        </is>
      </c>
    </row>
    <row r="3" ht="24" customHeight="1">
      <c r="B3" s="1" t="inlineStr">
        <is>
          <t>PPL: ANWAR RIFAID  |  PML: NILA UTAMA  |  Kab. Dompu, NTB</t>
        </is>
      </c>
    </row>
    <row r="4"/>
    <row r="5" ht="30.95" customHeight="1">
      <c r="B5" s="2" t="inlineStr">
        <is>
          <t>No</t>
        </is>
      </c>
      <c r="C5" s="2" t="inlineStr">
        <is>
          <t>PML</t>
        </is>
      </c>
      <c r="D5" s="14" t="n"/>
      <c r="E5" s="2" t="inlineStr">
        <is>
          <t>PPL</t>
        </is>
      </c>
      <c r="F5" s="14" t="n"/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K5" s="13" t="n"/>
      <c r="L5" s="14" t="n"/>
      <c r="M5" s="2" t="inlineStr">
        <is>
          <t>Realisasi</t>
        </is>
      </c>
      <c r="N5" s="13" t="n"/>
      <c r="O5" s="14" t="n"/>
      <c r="P5" s="2" t="inlineStr">
        <is>
          <t>Persentase (%)</t>
        </is>
      </c>
      <c r="Q5" s="2" t="inlineStr">
        <is>
          <t>Keterangan</t>
        </is>
      </c>
    </row>
    <row r="6" ht="20.45" customHeight="1">
      <c r="B6" s="18" t="n"/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G6" s="18" t="n"/>
      <c r="H6" s="18" t="n"/>
      <c r="I6" s="18" t="n"/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(BKU)</t>
        </is>
      </c>
      <c r="O6" s="2" t="inlineStr">
        <is>
          <t>Jumlah</t>
        </is>
      </c>
      <c r="P6" s="18" t="n"/>
      <c r="Q6" s="18" t="n"/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NILA UTAMA</t>
        </is>
      </c>
      <c r="D8" s="10" t="inlineStr">
        <is>
          <t>520523010001</t>
        </is>
      </c>
      <c r="E8" s="9" t="inlineStr">
        <is>
          <t>ANWAR RIFAID</t>
        </is>
      </c>
      <c r="F8" s="10" t="inlineStr">
        <is>
          <t>520522100011</t>
        </is>
      </c>
      <c r="G8" s="8" t="inlineStr">
        <is>
          <t>051</t>
        </is>
      </c>
      <c r="H8" s="8" t="inlineStr">
        <is>
          <t>005</t>
        </is>
      </c>
      <c r="I8" s="8" t="inlineStr">
        <is>
          <t>002200</t>
        </is>
      </c>
      <c r="J8" s="8" t="n">
        <v>34</v>
      </c>
      <c r="K8" s="8" t="n">
        <v>16</v>
      </c>
      <c r="L8" s="8">
        <f>J8+K8</f>
        <v/>
      </c>
      <c r="M8" s="8" t="n">
        <v>0</v>
      </c>
      <c r="N8" s="8" t="n">
        <v>0</v>
      </c>
      <c r="O8" s="8">
        <f>M8+N8</f>
        <v/>
      </c>
      <c r="P8" s="8">
        <f>IF(L8=0,100,O8/L8*100)</f>
        <v/>
      </c>
      <c r="Q8" s="11" t="inlineStr"/>
    </row>
    <row r="9">
      <c r="B9" s="8" t="n">
        <v>2</v>
      </c>
      <c r="C9" s="9" t="inlineStr">
        <is>
          <t>NILA UTAMA</t>
        </is>
      </c>
      <c r="D9" s="10" t="inlineStr">
        <is>
          <t>520523010001</t>
        </is>
      </c>
      <c r="E9" s="9" t="inlineStr">
        <is>
          <t>ANWAR RIFAID</t>
        </is>
      </c>
      <c r="F9" s="10" t="inlineStr">
        <is>
          <t>520522100011</t>
        </is>
      </c>
      <c r="G9" s="8" t="inlineStr">
        <is>
          <t>051</t>
        </is>
      </c>
      <c r="H9" s="8" t="inlineStr">
        <is>
          <t>005</t>
        </is>
      </c>
      <c r="I9" s="8" t="inlineStr">
        <is>
          <t>002300</t>
        </is>
      </c>
      <c r="J9" s="8" t="n">
        <v>43</v>
      </c>
      <c r="K9" s="8" t="n">
        <v>14</v>
      </c>
      <c r="L9" s="8">
        <f>J9+K9</f>
        <v/>
      </c>
      <c r="M9" s="8" t="n">
        <v>0</v>
      </c>
      <c r="N9" s="8" t="n">
        <v>0</v>
      </c>
      <c r="O9" s="8">
        <f>M9+N9</f>
        <v/>
      </c>
      <c r="P9" s="8">
        <f>IF(L9=0,100,O9/L9*100)</f>
        <v/>
      </c>
      <c r="Q9" s="11" t="inlineStr"/>
    </row>
    <row r="10">
      <c r="B10" s="8" t="n">
        <v>3</v>
      </c>
      <c r="C10" s="9" t="inlineStr">
        <is>
          <t>NILA UTAMA</t>
        </is>
      </c>
      <c r="D10" s="10" t="inlineStr">
        <is>
          <t>520523010001</t>
        </is>
      </c>
      <c r="E10" s="9" t="inlineStr">
        <is>
          <t>ANWAR RIFAID</t>
        </is>
      </c>
      <c r="F10" s="10" t="inlineStr">
        <is>
          <t>520522100011</t>
        </is>
      </c>
      <c r="G10" s="8" t="inlineStr">
        <is>
          <t>051</t>
        </is>
      </c>
      <c r="H10" s="8" t="inlineStr">
        <is>
          <t>005</t>
        </is>
      </c>
      <c r="I10" s="8" t="inlineStr">
        <is>
          <t>002400</t>
        </is>
      </c>
      <c r="J10" s="8" t="n">
        <v>26</v>
      </c>
      <c r="K10" s="8" t="n">
        <v>29</v>
      </c>
      <c r="L10" s="8">
        <f>J10+K10</f>
        <v/>
      </c>
      <c r="M10" s="8" t="n">
        <v>0</v>
      </c>
      <c r="N10" s="8" t="n">
        <v>0</v>
      </c>
      <c r="O10" s="8">
        <f>M10+N10</f>
        <v/>
      </c>
      <c r="P10" s="8">
        <f>IF(L10=0,100,O10/L10*100)</f>
        <v/>
      </c>
      <c r="Q10" s="11" t="inlineStr"/>
    </row>
    <row r="11">
      <c r="B11" s="8" t="n">
        <v>4</v>
      </c>
      <c r="C11" s="9" t="inlineStr">
        <is>
          <t>NILA UTAMA</t>
        </is>
      </c>
      <c r="D11" s="10" t="inlineStr">
        <is>
          <t>520523010001</t>
        </is>
      </c>
      <c r="E11" s="9" t="inlineStr">
        <is>
          <t>ANWAR RIFAID</t>
        </is>
      </c>
      <c r="F11" s="10" t="inlineStr">
        <is>
          <t>520522100011</t>
        </is>
      </c>
      <c r="G11" s="8" t="inlineStr">
        <is>
          <t>051</t>
        </is>
      </c>
      <c r="H11" s="8" t="inlineStr">
        <is>
          <t>005</t>
        </is>
      </c>
      <c r="I11" s="8" t="inlineStr">
        <is>
          <t>100100</t>
        </is>
      </c>
      <c r="J11" s="8" t="n">
        <v>0</v>
      </c>
      <c r="K11" s="8" t="n">
        <v>0</v>
      </c>
      <c r="L11" s="8">
        <f>J11+K11</f>
        <v/>
      </c>
      <c r="M11" s="8" t="n">
        <v>0</v>
      </c>
      <c r="N11" s="8" t="n">
        <v>0</v>
      </c>
      <c r="O11" s="8">
        <f>M11+N11</f>
        <v/>
      </c>
      <c r="P11" s="8">
        <f>IF(L11=0,100,O11/L11*100)</f>
        <v/>
      </c>
      <c r="Q11" s="11" t="inlineStr"/>
    </row>
    <row r="12">
      <c r="B12" s="4" t="n">
        <v>5</v>
      </c>
      <c r="C12" s="5" t="inlineStr">
        <is>
          <t>NILA UTAMA</t>
        </is>
      </c>
      <c r="D12" s="6" t="inlineStr">
        <is>
          <t>520523010001</t>
        </is>
      </c>
      <c r="E12" s="5" t="inlineStr">
        <is>
          <t>ANWAR RIFAID</t>
        </is>
      </c>
      <c r="F12" s="6" t="inlineStr">
        <is>
          <t>520522100011</t>
        </is>
      </c>
      <c r="G12" s="4" t="inlineStr">
        <is>
          <t>051</t>
        </is>
      </c>
      <c r="H12" s="4" t="inlineStr">
        <is>
          <t>005</t>
        </is>
      </c>
      <c r="I12" s="4" t="inlineStr">
        <is>
          <t>100200</t>
        </is>
      </c>
      <c r="J12" s="4" t="n">
        <v>0</v>
      </c>
      <c r="K12" s="4" t="n">
        <v>2</v>
      </c>
      <c r="L12" s="4">
        <f>J12+K12</f>
        <v/>
      </c>
      <c r="M12" s="4" t="n">
        <v>3</v>
      </c>
      <c r="N12" s="4" t="n">
        <v>0</v>
      </c>
      <c r="O12" s="4">
        <f>M12+N12</f>
        <v/>
      </c>
      <c r="P12" s="4">
        <f>IF(L12=0,100,O12/L12*100)</f>
        <v/>
      </c>
      <c r="Q12" s="7" t="inlineStr">
        <is>
          <t>PRIORITAS</t>
        </is>
      </c>
    </row>
    <row r="13">
      <c r="B13" s="4" t="n">
        <v>6</v>
      </c>
      <c r="C13" s="5" t="inlineStr">
        <is>
          <t>NILA UTAMA</t>
        </is>
      </c>
      <c r="D13" s="6" t="inlineStr">
        <is>
          <t>520523010001</t>
        </is>
      </c>
      <c r="E13" s="5" t="inlineStr">
        <is>
          <t>ANWAR RIFAID</t>
        </is>
      </c>
      <c r="F13" s="6" t="inlineStr">
        <is>
          <t>520522100011</t>
        </is>
      </c>
      <c r="G13" s="4" t="inlineStr">
        <is>
          <t>051</t>
        </is>
      </c>
      <c r="H13" s="4" t="inlineStr">
        <is>
          <t>005</t>
        </is>
      </c>
      <c r="I13" s="4" t="inlineStr">
        <is>
          <t>100300</t>
        </is>
      </c>
      <c r="J13" s="4" t="n">
        <v>0</v>
      </c>
      <c r="K13" s="4" t="n">
        <v>18</v>
      </c>
      <c r="L13" s="4">
        <f>J13+K13</f>
        <v/>
      </c>
      <c r="M13" s="4" t="n">
        <v>0</v>
      </c>
      <c r="N13" s="4" t="n">
        <v>18</v>
      </c>
      <c r="O13" s="4">
        <f>M13+N13</f>
        <v/>
      </c>
      <c r="P13" s="4">
        <f>IF(L13=0,100,O13/L13*100)</f>
        <v/>
      </c>
      <c r="Q13" s="7" t="inlineStr">
        <is>
          <t>PRIORITAS</t>
        </is>
      </c>
    </row>
    <row r="14">
      <c r="B14" s="4" t="n">
        <v>7</v>
      </c>
      <c r="C14" s="5" t="inlineStr">
        <is>
          <t>NILA UTAMA</t>
        </is>
      </c>
      <c r="D14" s="6" t="inlineStr">
        <is>
          <t>520523010001</t>
        </is>
      </c>
      <c r="E14" s="5" t="inlineStr">
        <is>
          <t>ANWAR RIFAID</t>
        </is>
      </c>
      <c r="F14" s="6" t="inlineStr">
        <is>
          <t>520522100011</t>
        </is>
      </c>
      <c r="G14" s="4" t="inlineStr">
        <is>
          <t>051</t>
        </is>
      </c>
      <c r="H14" s="4" t="inlineStr">
        <is>
          <t>006</t>
        </is>
      </c>
      <c r="I14" s="4" t="inlineStr">
        <is>
          <t>000700</t>
        </is>
      </c>
      <c r="J14" s="4" t="n">
        <v>94</v>
      </c>
      <c r="K14" s="4" t="n">
        <v>34</v>
      </c>
      <c r="L14" s="4">
        <f>J14+K14</f>
        <v/>
      </c>
      <c r="M14" s="4" t="n">
        <v>141</v>
      </c>
      <c r="N14" s="4" t="n">
        <v>31</v>
      </c>
      <c r="O14" s="4">
        <f>M14+N14</f>
        <v/>
      </c>
      <c r="P14" s="4">
        <f>IF(L14=0,100,O14/L14*100)</f>
        <v/>
      </c>
      <c r="Q14" s="7" t="inlineStr">
        <is>
          <t>PRIORITAS</t>
        </is>
      </c>
    </row>
    <row r="15">
      <c r="B15" s="4" t="n">
        <v>8</v>
      </c>
      <c r="C15" s="5" t="inlineStr">
        <is>
          <t>NILA UTAMA</t>
        </is>
      </c>
      <c r="D15" s="6" t="inlineStr">
        <is>
          <t>520523010001</t>
        </is>
      </c>
      <c r="E15" s="5" t="inlineStr">
        <is>
          <t>ANWAR RIFAID</t>
        </is>
      </c>
      <c r="F15" s="6" t="inlineStr">
        <is>
          <t>520522100011</t>
        </is>
      </c>
      <c r="G15" s="4" t="inlineStr">
        <is>
          <t>051</t>
        </is>
      </c>
      <c r="H15" s="4" t="inlineStr">
        <is>
          <t>006</t>
        </is>
      </c>
      <c r="I15" s="4" t="inlineStr">
        <is>
          <t>000800</t>
        </is>
      </c>
      <c r="J15" s="4" t="n">
        <v>73</v>
      </c>
      <c r="K15" s="4" t="n">
        <v>19</v>
      </c>
      <c r="L15" s="4">
        <f>J15+K15</f>
        <v/>
      </c>
      <c r="M15" s="4" t="n">
        <v>90</v>
      </c>
      <c r="N15" s="4" t="n">
        <v>18</v>
      </c>
      <c r="O15" s="4">
        <f>M15+N15</f>
        <v/>
      </c>
      <c r="P15" s="4">
        <f>IF(L15=0,100,O15/L15*100)</f>
        <v/>
      </c>
      <c r="Q15" s="7" t="inlineStr">
        <is>
          <t>PRIORITAS</t>
        </is>
      </c>
    </row>
    <row r="16">
      <c r="B16" s="12" t="inlineStr">
        <is>
          <t>Jumlah</t>
        </is>
      </c>
      <c r="C16" s="13" t="n"/>
      <c r="D16" s="13" t="n"/>
      <c r="E16" s="13" t="n"/>
      <c r="F16" s="13" t="n"/>
      <c r="G16" s="13" t="n"/>
      <c r="H16" s="13" t="n"/>
      <c r="I16" s="14" t="n"/>
      <c r="J16" s="15">
        <f>SUM(J8:J15)</f>
        <v/>
      </c>
      <c r="K16" s="15">
        <f>SUM(K8:K15)</f>
        <v/>
      </c>
      <c r="L16" s="12">
        <f>SUM(L8:L15)</f>
        <v/>
      </c>
      <c r="M16" s="15">
        <f>SUM(M8:M15)</f>
        <v/>
      </c>
      <c r="N16" s="15">
        <f>SUM(N8:N15)</f>
        <v/>
      </c>
      <c r="O16" s="12">
        <f>SUM(O8:O15)</f>
        <v/>
      </c>
      <c r="P16" s="12">
        <f>IF(L16=0,100,O16/L16*100)</f>
        <v/>
      </c>
      <c r="Q16" s="10" t="inlineStr"/>
    </row>
  </sheetData>
  <mergeCells count="13">
    <mergeCell ref="G5:G6"/>
    <mergeCell ref="P5:P6"/>
    <mergeCell ref="J5:L5"/>
    <mergeCell ref="H5:H6"/>
    <mergeCell ref="Q5:Q6"/>
    <mergeCell ref="B16:I1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1"/>
    <row r="2" ht="24" customHeight="1">
      <c r="B2" s="1" t="inlineStr">
        <is>
          <t>Beban Kerja Petugas Lapangan SE2026 - LK PPK Termin 1 (BATCH 2)</t>
        </is>
      </c>
    </row>
    <row r="3" ht="24" customHeight="1">
      <c r="B3" s="1" t="inlineStr">
        <is>
          <t>PPL: Muhammad Arkham  |  PML: NILA UTAMA  |  Kab. Dompu, NTB</t>
        </is>
      </c>
    </row>
    <row r="4"/>
    <row r="5" ht="30.95" customHeight="1">
      <c r="B5" s="2" t="inlineStr">
        <is>
          <t>No</t>
        </is>
      </c>
      <c r="C5" s="2" t="inlineStr">
        <is>
          <t>PML</t>
        </is>
      </c>
      <c r="D5" s="14" t="n"/>
      <c r="E5" s="2" t="inlineStr">
        <is>
          <t>PPL</t>
        </is>
      </c>
      <c r="F5" s="14" t="n"/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K5" s="13" t="n"/>
      <c r="L5" s="14" t="n"/>
      <c r="M5" s="2" t="inlineStr">
        <is>
          <t>Realisasi</t>
        </is>
      </c>
      <c r="N5" s="13" t="n"/>
      <c r="O5" s="14" t="n"/>
      <c r="P5" s="2" t="inlineStr">
        <is>
          <t>Persentase (%)</t>
        </is>
      </c>
      <c r="Q5" s="2" t="inlineStr">
        <is>
          <t>Keterangan</t>
        </is>
      </c>
    </row>
    <row r="6" ht="20.45" customHeight="1">
      <c r="B6" s="18" t="n"/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G6" s="18" t="n"/>
      <c r="H6" s="18" t="n"/>
      <c r="I6" s="18" t="n"/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(BKU)</t>
        </is>
      </c>
      <c r="O6" s="2" t="inlineStr">
        <is>
          <t>Jumlah</t>
        </is>
      </c>
      <c r="P6" s="18" t="n"/>
      <c r="Q6" s="18" t="n"/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NILA UTAMA</t>
        </is>
      </c>
      <c r="D8" s="10" t="inlineStr">
        <is>
          <t>520523010001</t>
        </is>
      </c>
      <c r="E8" s="9" t="inlineStr">
        <is>
          <t>Muhammad Arkham</t>
        </is>
      </c>
      <c r="F8" s="10" t="inlineStr">
        <is>
          <t>520526050050</t>
        </is>
      </c>
      <c r="G8" s="8" t="inlineStr">
        <is>
          <t>051</t>
        </is>
      </c>
      <c r="H8" s="8" t="inlineStr">
        <is>
          <t>005</t>
        </is>
      </c>
      <c r="I8" s="8" t="inlineStr">
        <is>
          <t>000600</t>
        </is>
      </c>
      <c r="J8" s="8" t="n">
        <v>38</v>
      </c>
      <c r="K8" s="8" t="n">
        <v>19</v>
      </c>
      <c r="L8" s="8">
        <f>J8+K8</f>
        <v/>
      </c>
      <c r="M8" s="8" t="n">
        <v>0</v>
      </c>
      <c r="N8" s="8" t="n">
        <v>0</v>
      </c>
      <c r="O8" s="8">
        <f>M8+N8</f>
        <v/>
      </c>
      <c r="P8" s="8">
        <f>IF(L8=0,100,O8/L8*100)</f>
        <v/>
      </c>
      <c r="Q8" s="11" t="inlineStr"/>
    </row>
    <row r="9">
      <c r="B9" s="4" t="n">
        <v>2</v>
      </c>
      <c r="C9" s="5" t="inlineStr">
        <is>
          <t>NILA UTAMA</t>
        </is>
      </c>
      <c r="D9" s="6" t="inlineStr">
        <is>
          <t>520523010001</t>
        </is>
      </c>
      <c r="E9" s="5" t="inlineStr">
        <is>
          <t>Muhammad Arkham</t>
        </is>
      </c>
      <c r="F9" s="6" t="inlineStr">
        <is>
          <t>520526050050</t>
        </is>
      </c>
      <c r="G9" s="4" t="inlineStr">
        <is>
          <t>051</t>
        </is>
      </c>
      <c r="H9" s="4" t="inlineStr">
        <is>
          <t>006</t>
        </is>
      </c>
      <c r="I9" s="4" t="inlineStr">
        <is>
          <t>001700</t>
        </is>
      </c>
      <c r="J9" s="4" t="n">
        <v>73</v>
      </c>
      <c r="K9" s="4" t="n">
        <v>34</v>
      </c>
      <c r="L9" s="4">
        <f>J9+K9</f>
        <v/>
      </c>
      <c r="M9" s="4" t="n">
        <v>65</v>
      </c>
      <c r="N9" s="4" t="n">
        <v>30</v>
      </c>
      <c r="O9" s="4">
        <f>M9+N9</f>
        <v/>
      </c>
      <c r="P9" s="4">
        <f>IF(L9=0,100,O9/L9*100)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NILA UTAMA</t>
        </is>
      </c>
      <c r="D10" s="6" t="inlineStr">
        <is>
          <t>520523010001</t>
        </is>
      </c>
      <c r="E10" s="5" t="inlineStr">
        <is>
          <t>Muhammad Arkham</t>
        </is>
      </c>
      <c r="F10" s="6" t="inlineStr">
        <is>
          <t>520526050050</t>
        </is>
      </c>
      <c r="G10" s="4" t="inlineStr">
        <is>
          <t>051</t>
        </is>
      </c>
      <c r="H10" s="4" t="inlineStr">
        <is>
          <t>006</t>
        </is>
      </c>
      <c r="I10" s="4" t="inlineStr">
        <is>
          <t>001800</t>
        </is>
      </c>
      <c r="J10" s="4" t="n">
        <v>46</v>
      </c>
      <c r="K10" s="4" t="n">
        <v>55</v>
      </c>
      <c r="L10" s="4">
        <f>J10+K10</f>
        <v/>
      </c>
      <c r="M10" s="4" t="n">
        <v>51</v>
      </c>
      <c r="N10" s="4" t="n">
        <v>53</v>
      </c>
      <c r="O10" s="4">
        <f>M10+N10</f>
        <v/>
      </c>
      <c r="P10" s="4">
        <f>IF(L10=0,100,O10/L10*100)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NILA UTAMA</t>
        </is>
      </c>
      <c r="D11" s="10" t="inlineStr">
        <is>
          <t>520523010001</t>
        </is>
      </c>
      <c r="E11" s="9" t="inlineStr">
        <is>
          <t>Muhammad Arkham</t>
        </is>
      </c>
      <c r="F11" s="10" t="inlineStr">
        <is>
          <t>520526050050</t>
        </is>
      </c>
      <c r="G11" s="8" t="inlineStr">
        <is>
          <t>051</t>
        </is>
      </c>
      <c r="H11" s="8" t="inlineStr">
        <is>
          <t>008</t>
        </is>
      </c>
      <c r="I11" s="8" t="inlineStr">
        <is>
          <t>000300</t>
        </is>
      </c>
      <c r="J11" s="8" t="n">
        <v>19</v>
      </c>
      <c r="K11" s="8" t="n">
        <v>54</v>
      </c>
      <c r="L11" s="8">
        <f>J11+K11</f>
        <v/>
      </c>
      <c r="M11" s="8" t="n">
        <v>0</v>
      </c>
      <c r="N11" s="8" t="n">
        <v>0</v>
      </c>
      <c r="O11" s="8">
        <f>M11+N11</f>
        <v/>
      </c>
      <c r="P11" s="8">
        <f>IF(L11=0,100,O11/L11*100)</f>
        <v/>
      </c>
      <c r="Q11" s="11" t="inlineStr"/>
    </row>
    <row r="12">
      <c r="B12" s="8" t="n">
        <v>5</v>
      </c>
      <c r="C12" s="9" t="inlineStr">
        <is>
          <t>NILA UTAMA</t>
        </is>
      </c>
      <c r="D12" s="10" t="inlineStr">
        <is>
          <t>520523010001</t>
        </is>
      </c>
      <c r="E12" s="9" t="inlineStr">
        <is>
          <t>Muhammad Arkham</t>
        </is>
      </c>
      <c r="F12" s="10" t="inlineStr">
        <is>
          <t>520526050050</t>
        </is>
      </c>
      <c r="G12" s="8" t="inlineStr">
        <is>
          <t>051</t>
        </is>
      </c>
      <c r="H12" s="8" t="inlineStr">
        <is>
          <t>008</t>
        </is>
      </c>
      <c r="I12" s="8" t="inlineStr">
        <is>
          <t>000400</t>
        </is>
      </c>
      <c r="J12" s="8" t="n">
        <v>36</v>
      </c>
      <c r="K12" s="8" t="n">
        <v>0</v>
      </c>
      <c r="L12" s="8">
        <f>J12+K12</f>
        <v/>
      </c>
      <c r="M12" s="8" t="n">
        <v>13</v>
      </c>
      <c r="N12" s="8" t="n">
        <v>0</v>
      </c>
      <c r="O12" s="8">
        <f>M12+N12</f>
        <v/>
      </c>
      <c r="P12" s="8">
        <f>IF(L12=0,100,O12/L12*100)</f>
        <v/>
      </c>
      <c r="Q12" s="11" t="inlineStr"/>
    </row>
    <row r="13">
      <c r="B13" s="4" t="n">
        <v>6</v>
      </c>
      <c r="C13" s="5" t="inlineStr">
        <is>
          <t>NILA UTAMA</t>
        </is>
      </c>
      <c r="D13" s="6" t="inlineStr">
        <is>
          <t>520523010001</t>
        </is>
      </c>
      <c r="E13" s="5" t="inlineStr">
        <is>
          <t>Muhammad Arkham</t>
        </is>
      </c>
      <c r="F13" s="6" t="inlineStr">
        <is>
          <t>520526050050</t>
        </is>
      </c>
      <c r="G13" s="4" t="inlineStr">
        <is>
          <t>051</t>
        </is>
      </c>
      <c r="H13" s="4" t="inlineStr">
        <is>
          <t>008</t>
        </is>
      </c>
      <c r="I13" s="4" t="inlineStr">
        <is>
          <t>002000</t>
        </is>
      </c>
      <c r="J13" s="4" t="n">
        <v>13</v>
      </c>
      <c r="K13" s="4" t="n">
        <v>20</v>
      </c>
      <c r="L13" s="4">
        <f>J13+K13</f>
        <v/>
      </c>
      <c r="M13" s="4" t="n">
        <v>24</v>
      </c>
      <c r="N13" s="4" t="n">
        <v>18</v>
      </c>
      <c r="O13" s="4">
        <f>M13+N13</f>
        <v/>
      </c>
      <c r="P13" s="4">
        <f>IF(L13=0,100,O13/L13*100)</f>
        <v/>
      </c>
      <c r="Q13" s="7" t="inlineStr">
        <is>
          <t>PRIORITAS</t>
        </is>
      </c>
    </row>
    <row r="14">
      <c r="B14" s="8" t="n">
        <v>7</v>
      </c>
      <c r="C14" s="9" t="inlineStr">
        <is>
          <t>NILA UTAMA</t>
        </is>
      </c>
      <c r="D14" s="10" t="inlineStr">
        <is>
          <t>520523010001</t>
        </is>
      </c>
      <c r="E14" s="9" t="inlineStr">
        <is>
          <t>Muhammad Arkham</t>
        </is>
      </c>
      <c r="F14" s="10" t="inlineStr">
        <is>
          <t>520526050050</t>
        </is>
      </c>
      <c r="G14" s="8" t="inlineStr">
        <is>
          <t>051</t>
        </is>
      </c>
      <c r="H14" s="8" t="inlineStr">
        <is>
          <t>008</t>
        </is>
      </c>
      <c r="I14" s="8" t="inlineStr">
        <is>
          <t>002200</t>
        </is>
      </c>
      <c r="J14" s="8" t="n">
        <v>40</v>
      </c>
      <c r="K14" s="8" t="n">
        <v>33</v>
      </c>
      <c r="L14" s="8">
        <f>J14+K14</f>
        <v/>
      </c>
      <c r="M14" s="8" t="n">
        <v>0</v>
      </c>
      <c r="N14" s="8" t="n">
        <v>0</v>
      </c>
      <c r="O14" s="8">
        <f>M14+N14</f>
        <v/>
      </c>
      <c r="P14" s="8">
        <f>IF(L14=0,100,O14/L14*100)</f>
        <v/>
      </c>
      <c r="Q14" s="11" t="inlineStr"/>
    </row>
    <row r="15">
      <c r="B15" s="12" t="inlineStr">
        <is>
          <t>Jumlah</t>
        </is>
      </c>
      <c r="C15" s="13" t="n"/>
      <c r="D15" s="13" t="n"/>
      <c r="E15" s="13" t="n"/>
      <c r="F15" s="13" t="n"/>
      <c r="G15" s="13" t="n"/>
      <c r="H15" s="13" t="n"/>
      <c r="I15" s="14" t="n"/>
      <c r="J15" s="15">
        <f>SUM(J8:J14)</f>
        <v/>
      </c>
      <c r="K15" s="15">
        <f>SUM(K8:K14)</f>
        <v/>
      </c>
      <c r="L15" s="12">
        <f>SUM(L8:L14)</f>
        <v/>
      </c>
      <c r="M15" s="15">
        <f>SUM(M8:M14)</f>
        <v/>
      </c>
      <c r="N15" s="15">
        <f>SUM(N8:N14)</f>
        <v/>
      </c>
      <c r="O15" s="12">
        <f>SUM(O8:O14)</f>
        <v/>
      </c>
      <c r="P15" s="12">
        <f>IF(L15=0,100,O15/L15*100)</f>
        <v/>
      </c>
      <c r="Q15" s="10" t="inlineStr"/>
    </row>
  </sheetData>
  <mergeCells count="13">
    <mergeCell ref="G5:G6"/>
    <mergeCell ref="P5:P6"/>
    <mergeCell ref="J5:L5"/>
    <mergeCell ref="H5:H6"/>
    <mergeCell ref="Q5:Q6"/>
    <mergeCell ref="B15:I15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1"/>
    <row r="2" ht="24" customHeight="1">
      <c r="B2" s="1" t="inlineStr">
        <is>
          <t>Beban Kerja Petugas Lapangan SE2026 - LK PPK Termin 1 (BATCH 2)</t>
        </is>
      </c>
    </row>
    <row r="3" ht="24" customHeight="1">
      <c r="B3" s="1" t="inlineStr">
        <is>
          <t>PPL: Titin Fatmawati  |  PML: SUHERMAN  |  Kab. Dompu, NTB</t>
        </is>
      </c>
    </row>
    <row r="4"/>
    <row r="5" ht="30.95" customHeight="1">
      <c r="B5" s="2" t="inlineStr">
        <is>
          <t>No</t>
        </is>
      </c>
      <c r="C5" s="2" t="inlineStr">
        <is>
          <t>PML</t>
        </is>
      </c>
      <c r="D5" s="14" t="n"/>
      <c r="E5" s="2" t="inlineStr">
        <is>
          <t>PPL</t>
        </is>
      </c>
      <c r="F5" s="14" t="n"/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K5" s="13" t="n"/>
      <c r="L5" s="14" t="n"/>
      <c r="M5" s="2" t="inlineStr">
        <is>
          <t>Realisasi</t>
        </is>
      </c>
      <c r="N5" s="13" t="n"/>
      <c r="O5" s="14" t="n"/>
      <c r="P5" s="2" t="inlineStr">
        <is>
          <t>Persentase (%)</t>
        </is>
      </c>
      <c r="Q5" s="2" t="inlineStr">
        <is>
          <t>Keterangan</t>
        </is>
      </c>
    </row>
    <row r="6" ht="20.45" customHeight="1">
      <c r="B6" s="18" t="n"/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G6" s="18" t="n"/>
      <c r="H6" s="18" t="n"/>
      <c r="I6" s="18" t="n"/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(BKU)</t>
        </is>
      </c>
      <c r="O6" s="2" t="inlineStr">
        <is>
          <t>Jumlah</t>
        </is>
      </c>
      <c r="P6" s="18" t="n"/>
      <c r="Q6" s="18" t="n"/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SUHERMAN</t>
        </is>
      </c>
      <c r="D8" s="10" t="inlineStr">
        <is>
          <t>520522030014</t>
        </is>
      </c>
      <c r="E8" s="9" t="inlineStr">
        <is>
          <t>Titin Fatmawati</t>
        </is>
      </c>
      <c r="F8" s="10" t="inlineStr">
        <is>
          <t>520522030021</t>
        </is>
      </c>
      <c r="G8" s="8" t="inlineStr">
        <is>
          <t>020</t>
        </is>
      </c>
      <c r="H8" s="8" t="inlineStr">
        <is>
          <t>015</t>
        </is>
      </c>
      <c r="I8" s="8" t="inlineStr">
        <is>
          <t>000300</t>
        </is>
      </c>
      <c r="J8" s="8" t="n">
        <v>48</v>
      </c>
      <c r="K8" s="8" t="n">
        <v>23</v>
      </c>
      <c r="L8" s="8">
        <f>J8+K8</f>
        <v/>
      </c>
      <c r="M8" s="8" t="n">
        <v>0</v>
      </c>
      <c r="N8" s="8" t="n">
        <v>0</v>
      </c>
      <c r="O8" s="8">
        <f>M8+N8</f>
        <v/>
      </c>
      <c r="P8" s="8">
        <f>IF(L8=0,100,O8/L8*100)</f>
        <v/>
      </c>
      <c r="Q8" s="11" t="inlineStr"/>
    </row>
    <row r="9">
      <c r="B9" s="8" t="n">
        <v>2</v>
      </c>
      <c r="C9" s="9" t="inlineStr">
        <is>
          <t>SUHERMAN</t>
        </is>
      </c>
      <c r="D9" s="10" t="inlineStr">
        <is>
          <t>520522030014</t>
        </is>
      </c>
      <c r="E9" s="9" t="inlineStr">
        <is>
          <t>Titin Fatmawati</t>
        </is>
      </c>
      <c r="F9" s="10" t="inlineStr">
        <is>
          <t>520522030021</t>
        </is>
      </c>
      <c r="G9" s="8" t="inlineStr">
        <is>
          <t>020</t>
        </is>
      </c>
      <c r="H9" s="8" t="inlineStr">
        <is>
          <t>015</t>
        </is>
      </c>
      <c r="I9" s="8" t="inlineStr">
        <is>
          <t>000800</t>
        </is>
      </c>
      <c r="J9" s="8" t="n">
        <v>66</v>
      </c>
      <c r="K9" s="8" t="n">
        <v>27</v>
      </c>
      <c r="L9" s="8">
        <f>J9+K9</f>
        <v/>
      </c>
      <c r="M9" s="8" t="n">
        <v>0</v>
      </c>
      <c r="N9" s="8" t="n">
        <v>0</v>
      </c>
      <c r="O9" s="8">
        <f>M9+N9</f>
        <v/>
      </c>
      <c r="P9" s="8">
        <f>IF(L9=0,100,O9/L9*100)</f>
        <v/>
      </c>
      <c r="Q9" s="11" t="inlineStr"/>
    </row>
    <row r="10">
      <c r="B10" s="4" t="n">
        <v>3</v>
      </c>
      <c r="C10" s="5" t="inlineStr">
        <is>
          <t>SUHERMAN</t>
        </is>
      </c>
      <c r="D10" s="6" t="inlineStr">
        <is>
          <t>520522030014</t>
        </is>
      </c>
      <c r="E10" s="5" t="inlineStr">
        <is>
          <t>Titin Fatmawati</t>
        </is>
      </c>
      <c r="F10" s="6" t="inlineStr">
        <is>
          <t>520522030021</t>
        </is>
      </c>
      <c r="G10" s="4" t="inlineStr">
        <is>
          <t>020</t>
        </is>
      </c>
      <c r="H10" s="4" t="inlineStr">
        <is>
          <t>015</t>
        </is>
      </c>
      <c r="I10" s="4" t="inlineStr">
        <is>
          <t>001500</t>
        </is>
      </c>
      <c r="J10" s="4" t="n">
        <v>112</v>
      </c>
      <c r="K10" s="4" t="n">
        <v>76</v>
      </c>
      <c r="L10" s="4">
        <f>J10+K10</f>
        <v/>
      </c>
      <c r="M10" s="4" t="n">
        <v>112</v>
      </c>
      <c r="N10" s="4" t="n">
        <v>69</v>
      </c>
      <c r="O10" s="4">
        <f>M10+N10</f>
        <v/>
      </c>
      <c r="P10" s="4">
        <f>IF(L10=0,100,O10/L10*100)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SUHERMAN</t>
        </is>
      </c>
      <c r="D11" s="6" t="inlineStr">
        <is>
          <t>520522030014</t>
        </is>
      </c>
      <c r="E11" s="5" t="inlineStr">
        <is>
          <t>Titin Fatmawati</t>
        </is>
      </c>
      <c r="F11" s="6" t="inlineStr">
        <is>
          <t>520522030021</t>
        </is>
      </c>
      <c r="G11" s="4" t="inlineStr">
        <is>
          <t>020</t>
        </is>
      </c>
      <c r="H11" s="4" t="inlineStr">
        <is>
          <t>015</t>
        </is>
      </c>
      <c r="I11" s="4" t="inlineStr">
        <is>
          <t>001700</t>
        </is>
      </c>
      <c r="J11" s="4" t="n">
        <v>117</v>
      </c>
      <c r="K11" s="4" t="n">
        <v>54</v>
      </c>
      <c r="L11" s="4">
        <f>J11+K11</f>
        <v/>
      </c>
      <c r="M11" s="4" t="n">
        <v>131</v>
      </c>
      <c r="N11" s="4" t="n">
        <v>50</v>
      </c>
      <c r="O11" s="4">
        <f>M11+N11</f>
        <v/>
      </c>
      <c r="P11" s="4">
        <f>IF(L11=0,100,O11/L11*100)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SUHERMAN</t>
        </is>
      </c>
      <c r="D12" s="10" t="inlineStr">
        <is>
          <t>520522030014</t>
        </is>
      </c>
      <c r="E12" s="9" t="inlineStr">
        <is>
          <t>Titin Fatmawati</t>
        </is>
      </c>
      <c r="F12" s="10" t="inlineStr">
        <is>
          <t>520522030021</t>
        </is>
      </c>
      <c r="G12" s="8" t="inlineStr">
        <is>
          <t>020</t>
        </is>
      </c>
      <c r="H12" s="8" t="inlineStr">
        <is>
          <t>015</t>
        </is>
      </c>
      <c r="I12" s="8" t="inlineStr">
        <is>
          <t>100300</t>
        </is>
      </c>
      <c r="J12" s="8" t="n">
        <v>3</v>
      </c>
      <c r="K12" s="8" t="n">
        <v>143</v>
      </c>
      <c r="L12" s="8">
        <f>J12+K12</f>
        <v/>
      </c>
      <c r="M12" s="8" t="n">
        <v>0</v>
      </c>
      <c r="N12" s="8" t="n">
        <v>0</v>
      </c>
      <c r="O12" s="8">
        <f>M12+N12</f>
        <v/>
      </c>
      <c r="P12" s="8">
        <f>IF(L12=0,100,O12/L12*100)</f>
        <v/>
      </c>
      <c r="Q12" s="11" t="inlineStr"/>
    </row>
    <row r="13">
      <c r="B13" s="12" t="inlineStr">
        <is>
          <t>Jumlah</t>
        </is>
      </c>
      <c r="C13" s="13" t="n"/>
      <c r="D13" s="13" t="n"/>
      <c r="E13" s="13" t="n"/>
      <c r="F13" s="13" t="n"/>
      <c r="G13" s="13" t="n"/>
      <c r="H13" s="13" t="n"/>
      <c r="I13" s="14" t="n"/>
      <c r="J13" s="15">
        <f>SUM(J8:J12)</f>
        <v/>
      </c>
      <c r="K13" s="15">
        <f>SUM(K8:K12)</f>
        <v/>
      </c>
      <c r="L13" s="12">
        <f>SUM(L8:L12)</f>
        <v/>
      </c>
      <c r="M13" s="15">
        <f>SUM(M8:M12)</f>
        <v/>
      </c>
      <c r="N13" s="15">
        <f>SUM(N8:N12)</f>
        <v/>
      </c>
      <c r="O13" s="12">
        <f>SUM(O8:O12)</f>
        <v/>
      </c>
      <c r="P13" s="12">
        <f>IF(L13=0,100,O13/L13*100)</f>
        <v/>
      </c>
      <c r="Q13" s="10" t="inlineStr"/>
    </row>
  </sheetData>
  <mergeCells count="13">
    <mergeCell ref="G5:G6"/>
    <mergeCell ref="P5:P6"/>
    <mergeCell ref="J5:L5"/>
    <mergeCell ref="H5:H6"/>
    <mergeCell ref="Q5:Q6"/>
    <mergeCell ref="B13:I13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1"/>
    <row r="2" ht="24" customHeight="1">
      <c r="B2" s="1" t="inlineStr">
        <is>
          <t>Beban Kerja Petugas Lapangan SE2026 - LK PPK Termin 1 (BATCH 2)</t>
        </is>
      </c>
    </row>
    <row r="3" ht="24" customHeight="1">
      <c r="B3" s="1" t="inlineStr">
        <is>
          <t>PPL: Ayu wandira  |  PML: Syahril Sidik  |  Kab. Dompu, NTB</t>
        </is>
      </c>
    </row>
    <row r="4"/>
    <row r="5" ht="30.95" customHeight="1">
      <c r="B5" s="2" t="inlineStr">
        <is>
          <t>No</t>
        </is>
      </c>
      <c r="C5" s="2" t="inlineStr">
        <is>
          <t>PML</t>
        </is>
      </c>
      <c r="D5" s="14" t="n"/>
      <c r="E5" s="2" t="inlineStr">
        <is>
          <t>PPL</t>
        </is>
      </c>
      <c r="F5" s="14" t="n"/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K5" s="13" t="n"/>
      <c r="L5" s="14" t="n"/>
      <c r="M5" s="2" t="inlineStr">
        <is>
          <t>Realisasi</t>
        </is>
      </c>
      <c r="N5" s="13" t="n"/>
      <c r="O5" s="14" t="n"/>
      <c r="P5" s="2" t="inlineStr">
        <is>
          <t>Persentase (%)</t>
        </is>
      </c>
      <c r="Q5" s="2" t="inlineStr">
        <is>
          <t>Keterangan</t>
        </is>
      </c>
    </row>
    <row r="6" ht="20.45" customHeight="1">
      <c r="B6" s="18" t="n"/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G6" s="18" t="n"/>
      <c r="H6" s="18" t="n"/>
      <c r="I6" s="18" t="n"/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(BKU)</t>
        </is>
      </c>
      <c r="O6" s="2" t="inlineStr">
        <is>
          <t>Jumlah</t>
        </is>
      </c>
      <c r="P6" s="18" t="n"/>
      <c r="Q6" s="18" t="n"/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Syahril Sidik</t>
        </is>
      </c>
      <c r="D8" s="6" t="inlineStr">
        <is>
          <t>520523050009</t>
        </is>
      </c>
      <c r="E8" s="5" t="inlineStr">
        <is>
          <t>Ayu wandira</t>
        </is>
      </c>
      <c r="F8" s="6" t="inlineStr">
        <is>
          <t>520525110011</t>
        </is>
      </c>
      <c r="G8" s="4" t="inlineStr">
        <is>
          <t>051</t>
        </is>
      </c>
      <c r="H8" s="4" t="inlineStr">
        <is>
          <t>012</t>
        </is>
      </c>
      <c r="I8" s="4" t="inlineStr">
        <is>
          <t>000100</t>
        </is>
      </c>
      <c r="J8" s="4" t="n">
        <v>64</v>
      </c>
      <c r="K8" s="4" t="n">
        <v>49</v>
      </c>
      <c r="L8" s="4">
        <f>J8+K8</f>
        <v/>
      </c>
      <c r="M8" s="4" t="n">
        <v>74</v>
      </c>
      <c r="N8" s="4" t="n">
        <v>34</v>
      </c>
      <c r="O8" s="4">
        <f>M8+N8</f>
        <v/>
      </c>
      <c r="P8" s="4">
        <f>IF(L8=0,100,O8/L8*100)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Syahril Sidik</t>
        </is>
      </c>
      <c r="D9" s="6" t="inlineStr">
        <is>
          <t>520523050009</t>
        </is>
      </c>
      <c r="E9" s="5" t="inlineStr">
        <is>
          <t>Ayu wandira</t>
        </is>
      </c>
      <c r="F9" s="6" t="inlineStr">
        <is>
          <t>520525110011</t>
        </is>
      </c>
      <c r="G9" s="4" t="inlineStr">
        <is>
          <t>051</t>
        </is>
      </c>
      <c r="H9" s="4" t="inlineStr">
        <is>
          <t>012</t>
        </is>
      </c>
      <c r="I9" s="4" t="inlineStr">
        <is>
          <t>000200</t>
        </is>
      </c>
      <c r="J9" s="4" t="n">
        <v>71</v>
      </c>
      <c r="K9" s="4" t="n">
        <v>48</v>
      </c>
      <c r="L9" s="4">
        <f>J9+K9</f>
        <v/>
      </c>
      <c r="M9" s="4" t="n">
        <v>65</v>
      </c>
      <c r="N9" s="4" t="n">
        <v>49</v>
      </c>
      <c r="O9" s="4">
        <f>M9+N9</f>
        <v/>
      </c>
      <c r="P9" s="4">
        <f>IF(L9=0,100,O9/L9*100)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Syahril Sidik</t>
        </is>
      </c>
      <c r="D10" s="10" t="inlineStr">
        <is>
          <t>520523050009</t>
        </is>
      </c>
      <c r="E10" s="9" t="inlineStr">
        <is>
          <t>Ayu wandira</t>
        </is>
      </c>
      <c r="F10" s="10" t="inlineStr">
        <is>
          <t>520525110011</t>
        </is>
      </c>
      <c r="G10" s="8" t="inlineStr">
        <is>
          <t>051</t>
        </is>
      </c>
      <c r="H10" s="8" t="inlineStr">
        <is>
          <t>012</t>
        </is>
      </c>
      <c r="I10" s="8" t="inlineStr">
        <is>
          <t>000300</t>
        </is>
      </c>
      <c r="J10" s="8" t="n">
        <v>56</v>
      </c>
      <c r="K10" s="8" t="n">
        <v>41</v>
      </c>
      <c r="L10" s="8">
        <f>J10+K10</f>
        <v/>
      </c>
      <c r="M10" s="8" t="n">
        <v>8</v>
      </c>
      <c r="N10" s="8" t="n">
        <v>12</v>
      </c>
      <c r="O10" s="8">
        <f>M10+N10</f>
        <v/>
      </c>
      <c r="P10" s="8">
        <f>IF(L10=0,100,O10/L10*100)</f>
        <v/>
      </c>
      <c r="Q10" s="11" t="inlineStr"/>
    </row>
    <row r="11">
      <c r="B11" s="8" t="n">
        <v>4</v>
      </c>
      <c r="C11" s="9" t="inlineStr">
        <is>
          <t>Syahril Sidik</t>
        </is>
      </c>
      <c r="D11" s="10" t="inlineStr">
        <is>
          <t>520523050009</t>
        </is>
      </c>
      <c r="E11" s="9" t="inlineStr">
        <is>
          <t>Ayu wandira</t>
        </is>
      </c>
      <c r="F11" s="10" t="inlineStr">
        <is>
          <t>520525110011</t>
        </is>
      </c>
      <c r="G11" s="8" t="inlineStr">
        <is>
          <t>051</t>
        </is>
      </c>
      <c r="H11" s="8" t="inlineStr">
        <is>
          <t>012</t>
        </is>
      </c>
      <c r="I11" s="8" t="inlineStr">
        <is>
          <t>000600</t>
        </is>
      </c>
      <c r="J11" s="8" t="n">
        <v>30</v>
      </c>
      <c r="K11" s="8" t="n">
        <v>32</v>
      </c>
      <c r="L11" s="8">
        <f>J11+K11</f>
        <v/>
      </c>
      <c r="M11" s="8" t="n">
        <v>0</v>
      </c>
      <c r="N11" s="8" t="n">
        <v>1</v>
      </c>
      <c r="O11" s="8">
        <f>M11+N11</f>
        <v/>
      </c>
      <c r="P11" s="8">
        <f>IF(L11=0,100,O11/L11*100)</f>
        <v/>
      </c>
      <c r="Q11" s="11" t="inlineStr"/>
    </row>
    <row r="12">
      <c r="B12" s="8" t="n">
        <v>5</v>
      </c>
      <c r="C12" s="9" t="inlineStr">
        <is>
          <t>Syahril Sidik</t>
        </is>
      </c>
      <c r="D12" s="10" t="inlineStr">
        <is>
          <t>520523050009</t>
        </is>
      </c>
      <c r="E12" s="9" t="inlineStr">
        <is>
          <t>Ayu wandira</t>
        </is>
      </c>
      <c r="F12" s="10" t="inlineStr">
        <is>
          <t>520525110011</t>
        </is>
      </c>
      <c r="G12" s="8" t="inlineStr">
        <is>
          <t>051</t>
        </is>
      </c>
      <c r="H12" s="8" t="inlineStr">
        <is>
          <t>012</t>
        </is>
      </c>
      <c r="I12" s="8" t="inlineStr">
        <is>
          <t>000700</t>
        </is>
      </c>
      <c r="J12" s="8" t="n">
        <v>63</v>
      </c>
      <c r="K12" s="8" t="n">
        <v>46</v>
      </c>
      <c r="L12" s="8">
        <f>J12+K12</f>
        <v/>
      </c>
      <c r="M12" s="8" t="n">
        <v>1</v>
      </c>
      <c r="N12" s="8" t="n">
        <v>6</v>
      </c>
      <c r="O12" s="8">
        <f>M12+N12</f>
        <v/>
      </c>
      <c r="P12" s="8">
        <f>IF(L12=0,100,O12/L12*100)</f>
        <v/>
      </c>
      <c r="Q12" s="11" t="inlineStr"/>
    </row>
    <row r="13">
      <c r="B13" s="4" t="n">
        <v>6</v>
      </c>
      <c r="C13" s="5" t="inlineStr">
        <is>
          <t>Syahril Sidik</t>
        </is>
      </c>
      <c r="D13" s="6" t="inlineStr">
        <is>
          <t>520523050009</t>
        </is>
      </c>
      <c r="E13" s="5" t="inlineStr">
        <is>
          <t>Ayu wandira</t>
        </is>
      </c>
      <c r="F13" s="6" t="inlineStr">
        <is>
          <t>520525110011</t>
        </is>
      </c>
      <c r="G13" s="4" t="inlineStr">
        <is>
          <t>051</t>
        </is>
      </c>
      <c r="H13" s="4" t="inlineStr">
        <is>
          <t>012</t>
        </is>
      </c>
      <c r="I13" s="4" t="inlineStr">
        <is>
          <t>000800</t>
        </is>
      </c>
      <c r="J13" s="4" t="n">
        <v>34</v>
      </c>
      <c r="K13" s="4" t="n">
        <v>23</v>
      </c>
      <c r="L13" s="4">
        <f>J13+K13</f>
        <v/>
      </c>
      <c r="M13" s="4" t="n">
        <v>34</v>
      </c>
      <c r="N13" s="4" t="n">
        <v>23</v>
      </c>
      <c r="O13" s="4">
        <f>M13+N13</f>
        <v/>
      </c>
      <c r="P13" s="4">
        <f>IF(L13=0,100,O13/L13*100)</f>
        <v/>
      </c>
      <c r="Q13" s="7" t="inlineStr">
        <is>
          <t>PRIORITAS</t>
        </is>
      </c>
    </row>
    <row r="14">
      <c r="B14" s="8" t="n">
        <v>7</v>
      </c>
      <c r="C14" s="9" t="inlineStr">
        <is>
          <t>Syahril Sidik</t>
        </is>
      </c>
      <c r="D14" s="10" t="inlineStr">
        <is>
          <t>520523050009</t>
        </is>
      </c>
      <c r="E14" s="9" t="inlineStr">
        <is>
          <t>Ayu wandira</t>
        </is>
      </c>
      <c r="F14" s="10" t="inlineStr">
        <is>
          <t>520525110011</t>
        </is>
      </c>
      <c r="G14" s="8" t="inlineStr">
        <is>
          <t>051</t>
        </is>
      </c>
      <c r="H14" s="8" t="inlineStr">
        <is>
          <t>012</t>
        </is>
      </c>
      <c r="I14" s="8" t="inlineStr">
        <is>
          <t>100100</t>
        </is>
      </c>
      <c r="J14" s="8" t="n">
        <v>0</v>
      </c>
      <c r="K14" s="8" t="n">
        <v>0</v>
      </c>
      <c r="L14" s="8">
        <f>J14+K14</f>
        <v/>
      </c>
      <c r="M14" s="8" t="n">
        <v>0</v>
      </c>
      <c r="N14" s="8" t="n">
        <v>0</v>
      </c>
      <c r="O14" s="8">
        <f>M14+N14</f>
        <v/>
      </c>
      <c r="P14" s="8">
        <f>IF(L14=0,100,O14/L14*100)</f>
        <v/>
      </c>
      <c r="Q14" s="11" t="inlineStr"/>
    </row>
    <row r="15">
      <c r="B15" s="12" t="inlineStr">
        <is>
          <t>Jumlah</t>
        </is>
      </c>
      <c r="C15" s="13" t="n"/>
      <c r="D15" s="13" t="n"/>
      <c r="E15" s="13" t="n"/>
      <c r="F15" s="13" t="n"/>
      <c r="G15" s="13" t="n"/>
      <c r="H15" s="13" t="n"/>
      <c r="I15" s="14" t="n"/>
      <c r="J15" s="15">
        <f>SUM(J8:J14)</f>
        <v/>
      </c>
      <c r="K15" s="15">
        <f>SUM(K8:K14)</f>
        <v/>
      </c>
      <c r="L15" s="12">
        <f>SUM(L8:L14)</f>
        <v/>
      </c>
      <c r="M15" s="15">
        <f>SUM(M8:M14)</f>
        <v/>
      </c>
      <c r="N15" s="15">
        <f>SUM(N8:N14)</f>
        <v/>
      </c>
      <c r="O15" s="12">
        <f>SUM(O8:O14)</f>
        <v/>
      </c>
      <c r="P15" s="12">
        <f>IF(L15=0,100,O15/L15*100)</f>
        <v/>
      </c>
      <c r="Q15" s="10" t="inlineStr"/>
    </row>
  </sheetData>
  <mergeCells count="13">
    <mergeCell ref="G5:G6"/>
    <mergeCell ref="P5:P6"/>
    <mergeCell ref="J5:L5"/>
    <mergeCell ref="H5:H6"/>
    <mergeCell ref="Q5:Q6"/>
    <mergeCell ref="B15:I15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1"/>
    <row r="2" ht="24" customHeight="1">
      <c r="B2" s="1" t="inlineStr">
        <is>
          <t>Beban Kerja Petugas Lapangan SE2026 - LK PPK Termin 1 (BATCH 2)</t>
        </is>
      </c>
    </row>
    <row r="3" ht="24" customHeight="1">
      <c r="B3" s="1" t="inlineStr">
        <is>
          <t>PPL: MIRJAN ALHALIK  |  PML: Syahril Sidik  |  Kab. Dompu, NTB</t>
        </is>
      </c>
    </row>
    <row r="4"/>
    <row r="5" ht="30.95" customHeight="1">
      <c r="B5" s="2" t="inlineStr">
        <is>
          <t>No</t>
        </is>
      </c>
      <c r="C5" s="2" t="inlineStr">
        <is>
          <t>PML</t>
        </is>
      </c>
      <c r="D5" s="14" t="n"/>
      <c r="E5" s="2" t="inlineStr">
        <is>
          <t>PPL</t>
        </is>
      </c>
      <c r="F5" s="14" t="n"/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K5" s="13" t="n"/>
      <c r="L5" s="14" t="n"/>
      <c r="M5" s="2" t="inlineStr">
        <is>
          <t>Realisasi</t>
        </is>
      </c>
      <c r="N5" s="13" t="n"/>
      <c r="O5" s="14" t="n"/>
      <c r="P5" s="2" t="inlineStr">
        <is>
          <t>Persentase (%)</t>
        </is>
      </c>
      <c r="Q5" s="2" t="inlineStr">
        <is>
          <t>Keterangan</t>
        </is>
      </c>
    </row>
    <row r="6" ht="20.45" customHeight="1">
      <c r="B6" s="18" t="n"/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G6" s="18" t="n"/>
      <c r="H6" s="18" t="n"/>
      <c r="I6" s="18" t="n"/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(BKU)</t>
        </is>
      </c>
      <c r="O6" s="2" t="inlineStr">
        <is>
          <t>Jumlah</t>
        </is>
      </c>
      <c r="P6" s="18" t="n"/>
      <c r="Q6" s="18" t="n"/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Syahril Sidik</t>
        </is>
      </c>
      <c r="D8" s="10" t="inlineStr">
        <is>
          <t>520523050009</t>
        </is>
      </c>
      <c r="E8" s="9" t="inlineStr">
        <is>
          <t>MIRJAN ALHALIK</t>
        </is>
      </c>
      <c r="F8" s="10" t="inlineStr">
        <is>
          <t>520522100132</t>
        </is>
      </c>
      <c r="G8" s="8" t="inlineStr">
        <is>
          <t>051</t>
        </is>
      </c>
      <c r="H8" s="8" t="inlineStr">
        <is>
          <t>002</t>
        </is>
      </c>
      <c r="I8" s="8" t="inlineStr">
        <is>
          <t>000400</t>
        </is>
      </c>
      <c r="J8" s="8" t="n">
        <v>57</v>
      </c>
      <c r="K8" s="8" t="n">
        <v>27</v>
      </c>
      <c r="L8" s="8">
        <f>J8+K8</f>
        <v/>
      </c>
      <c r="M8" s="8" t="n">
        <v>0</v>
      </c>
      <c r="N8" s="8" t="n">
        <v>0</v>
      </c>
      <c r="O8" s="8">
        <f>M8+N8</f>
        <v/>
      </c>
      <c r="P8" s="8">
        <f>IF(L8=0,100,O8/L8*100)</f>
        <v/>
      </c>
      <c r="Q8" s="11" t="inlineStr"/>
    </row>
    <row r="9">
      <c r="B9" s="4" t="n">
        <v>2</v>
      </c>
      <c r="C9" s="5" t="inlineStr">
        <is>
          <t>Syahril Sidik</t>
        </is>
      </c>
      <c r="D9" s="6" t="inlineStr">
        <is>
          <t>520523050009</t>
        </is>
      </c>
      <c r="E9" s="5" t="inlineStr">
        <is>
          <t>MIRJAN ALHALIK</t>
        </is>
      </c>
      <c r="F9" s="6" t="inlineStr">
        <is>
          <t>520522100132</t>
        </is>
      </c>
      <c r="G9" s="4" t="inlineStr">
        <is>
          <t>051</t>
        </is>
      </c>
      <c r="H9" s="4" t="inlineStr">
        <is>
          <t>002</t>
        </is>
      </c>
      <c r="I9" s="4" t="inlineStr">
        <is>
          <t>000600</t>
        </is>
      </c>
      <c r="J9" s="4" t="n">
        <v>103</v>
      </c>
      <c r="K9" s="4" t="n">
        <v>26</v>
      </c>
      <c r="L9" s="4">
        <f>J9+K9</f>
        <v/>
      </c>
      <c r="M9" s="4" t="n">
        <v>108</v>
      </c>
      <c r="N9" s="4" t="n">
        <v>26</v>
      </c>
      <c r="O9" s="4">
        <f>M9+N9</f>
        <v/>
      </c>
      <c r="P9" s="4">
        <f>IF(L9=0,100,O9/L9*100)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Syahril Sidik</t>
        </is>
      </c>
      <c r="D10" s="6" t="inlineStr">
        <is>
          <t>520523050009</t>
        </is>
      </c>
      <c r="E10" s="5" t="inlineStr">
        <is>
          <t>MIRJAN ALHALIK</t>
        </is>
      </c>
      <c r="F10" s="6" t="inlineStr">
        <is>
          <t>520522100132</t>
        </is>
      </c>
      <c r="G10" s="4" t="inlineStr">
        <is>
          <t>051</t>
        </is>
      </c>
      <c r="H10" s="4" t="inlineStr">
        <is>
          <t>002</t>
        </is>
      </c>
      <c r="I10" s="4" t="inlineStr">
        <is>
          <t>000700</t>
        </is>
      </c>
      <c r="J10" s="4" t="n">
        <v>53</v>
      </c>
      <c r="K10" s="4" t="n">
        <v>15</v>
      </c>
      <c r="L10" s="4">
        <f>J10+K10</f>
        <v/>
      </c>
      <c r="M10" s="4" t="n">
        <v>54</v>
      </c>
      <c r="N10" s="4" t="n">
        <v>13</v>
      </c>
      <c r="O10" s="4">
        <f>M10+N10</f>
        <v/>
      </c>
      <c r="P10" s="4">
        <f>IF(L10=0,100,O10/L10*100)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Syahril Sidik</t>
        </is>
      </c>
      <c r="D11" s="6" t="inlineStr">
        <is>
          <t>520523050009</t>
        </is>
      </c>
      <c r="E11" s="5" t="inlineStr">
        <is>
          <t>MIRJAN ALHALIK</t>
        </is>
      </c>
      <c r="F11" s="6" t="inlineStr">
        <is>
          <t>520522100132</t>
        </is>
      </c>
      <c r="G11" s="4" t="inlineStr">
        <is>
          <t>051</t>
        </is>
      </c>
      <c r="H11" s="4" t="inlineStr">
        <is>
          <t>002</t>
        </is>
      </c>
      <c r="I11" s="4" t="inlineStr">
        <is>
          <t>000800</t>
        </is>
      </c>
      <c r="J11" s="4" t="n">
        <v>86</v>
      </c>
      <c r="K11" s="4" t="n">
        <v>23</v>
      </c>
      <c r="L11" s="4">
        <f>J11+K11</f>
        <v/>
      </c>
      <c r="M11" s="4" t="n">
        <v>94</v>
      </c>
      <c r="N11" s="4" t="n">
        <v>26</v>
      </c>
      <c r="O11" s="4">
        <f>M11+N11</f>
        <v/>
      </c>
      <c r="P11" s="4">
        <f>IF(L11=0,100,O11/L11*100)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Syahril Sidik</t>
        </is>
      </c>
      <c r="D12" s="10" t="inlineStr">
        <is>
          <t>520523050009</t>
        </is>
      </c>
      <c r="E12" s="9" t="inlineStr">
        <is>
          <t>MIRJAN ALHALIK</t>
        </is>
      </c>
      <c r="F12" s="10" t="inlineStr">
        <is>
          <t>520522100132</t>
        </is>
      </c>
      <c r="G12" s="8" t="inlineStr">
        <is>
          <t>051</t>
        </is>
      </c>
      <c r="H12" s="8" t="inlineStr">
        <is>
          <t>002</t>
        </is>
      </c>
      <c r="I12" s="8" t="inlineStr">
        <is>
          <t>000900</t>
        </is>
      </c>
      <c r="J12" s="8" t="n">
        <v>32</v>
      </c>
      <c r="K12" s="8" t="n">
        <v>8</v>
      </c>
      <c r="L12" s="8">
        <f>J12+K12</f>
        <v/>
      </c>
      <c r="M12" s="8" t="n">
        <v>0</v>
      </c>
      <c r="N12" s="8" t="n">
        <v>0</v>
      </c>
      <c r="O12" s="8">
        <f>M12+N12</f>
        <v/>
      </c>
      <c r="P12" s="8">
        <f>IF(L12=0,100,O12/L12*100)</f>
        <v/>
      </c>
      <c r="Q12" s="11" t="inlineStr"/>
    </row>
    <row r="13">
      <c r="B13" s="8" t="n">
        <v>6</v>
      </c>
      <c r="C13" s="9" t="inlineStr">
        <is>
          <t>Syahril Sidik</t>
        </is>
      </c>
      <c r="D13" s="10" t="inlineStr">
        <is>
          <t>520523050009</t>
        </is>
      </c>
      <c r="E13" s="9" t="inlineStr">
        <is>
          <t>MIRJAN ALHALIK</t>
        </is>
      </c>
      <c r="F13" s="10" t="inlineStr">
        <is>
          <t>520522100132</t>
        </is>
      </c>
      <c r="G13" s="8" t="inlineStr">
        <is>
          <t>051</t>
        </is>
      </c>
      <c r="H13" s="8" t="inlineStr">
        <is>
          <t>002</t>
        </is>
      </c>
      <c r="I13" s="8" t="inlineStr">
        <is>
          <t>001000</t>
        </is>
      </c>
      <c r="J13" s="8" t="n">
        <v>39</v>
      </c>
      <c r="K13" s="8" t="n">
        <v>8</v>
      </c>
      <c r="L13" s="8">
        <f>J13+K13</f>
        <v/>
      </c>
      <c r="M13" s="8" t="n">
        <v>5</v>
      </c>
      <c r="N13" s="8" t="n">
        <v>0</v>
      </c>
      <c r="O13" s="8">
        <f>M13+N13</f>
        <v/>
      </c>
      <c r="P13" s="8">
        <f>IF(L13=0,100,O13/L13*100)</f>
        <v/>
      </c>
      <c r="Q13" s="11" t="inlineStr"/>
    </row>
    <row r="14">
      <c r="B14" s="8" t="n">
        <v>7</v>
      </c>
      <c r="C14" s="9" t="inlineStr">
        <is>
          <t>Syahril Sidik</t>
        </is>
      </c>
      <c r="D14" s="10" t="inlineStr">
        <is>
          <t>520523050009</t>
        </is>
      </c>
      <c r="E14" s="9" t="inlineStr">
        <is>
          <t>MIRJAN ALHALIK</t>
        </is>
      </c>
      <c r="F14" s="10" t="inlineStr">
        <is>
          <t>520522100132</t>
        </is>
      </c>
      <c r="G14" s="8" t="inlineStr">
        <is>
          <t>051</t>
        </is>
      </c>
      <c r="H14" s="8" t="inlineStr">
        <is>
          <t>002</t>
        </is>
      </c>
      <c r="I14" s="8" t="inlineStr">
        <is>
          <t>001100</t>
        </is>
      </c>
      <c r="J14" s="8" t="n">
        <v>32</v>
      </c>
      <c r="K14" s="8" t="n">
        <v>18</v>
      </c>
      <c r="L14" s="8">
        <f>J14+K14</f>
        <v/>
      </c>
      <c r="M14" s="8" t="n">
        <v>0</v>
      </c>
      <c r="N14" s="8" t="n">
        <v>0</v>
      </c>
      <c r="O14" s="8">
        <f>M14+N14</f>
        <v/>
      </c>
      <c r="P14" s="8">
        <f>IF(L14=0,100,O14/L14*100)</f>
        <v/>
      </c>
      <c r="Q14" s="11" t="inlineStr"/>
    </row>
    <row r="15">
      <c r="B15" s="8" t="n">
        <v>8</v>
      </c>
      <c r="C15" s="9" t="inlineStr">
        <is>
          <t>Syahril Sidik</t>
        </is>
      </c>
      <c r="D15" s="10" t="inlineStr">
        <is>
          <t>520523050009</t>
        </is>
      </c>
      <c r="E15" s="9" t="inlineStr">
        <is>
          <t>MIRJAN ALHALIK</t>
        </is>
      </c>
      <c r="F15" s="10" t="inlineStr">
        <is>
          <t>520522100132</t>
        </is>
      </c>
      <c r="G15" s="8" t="inlineStr">
        <is>
          <t>051</t>
        </is>
      </c>
      <c r="H15" s="8" t="inlineStr">
        <is>
          <t>002</t>
        </is>
      </c>
      <c r="I15" s="8" t="inlineStr">
        <is>
          <t>100300</t>
        </is>
      </c>
      <c r="J15" s="8" t="n">
        <v>0</v>
      </c>
      <c r="K15" s="8" t="n">
        <v>0</v>
      </c>
      <c r="L15" s="8">
        <f>J15+K15</f>
        <v/>
      </c>
      <c r="M15" s="8" t="n">
        <v>0</v>
      </c>
      <c r="N15" s="8" t="n">
        <v>0</v>
      </c>
      <c r="O15" s="8">
        <f>M15+N15</f>
        <v/>
      </c>
      <c r="P15" s="8">
        <f>IF(L15=0,100,O15/L15*100)</f>
        <v/>
      </c>
      <c r="Q15" s="11" t="inlineStr"/>
    </row>
    <row r="16">
      <c r="B16" s="4" t="n">
        <v>9</v>
      </c>
      <c r="C16" s="5" t="inlineStr">
        <is>
          <t>Syahril Sidik</t>
        </is>
      </c>
      <c r="D16" s="6" t="inlineStr">
        <is>
          <t>520523050009</t>
        </is>
      </c>
      <c r="E16" s="5" t="inlineStr">
        <is>
          <t>MIRJAN ALHALIK</t>
        </is>
      </c>
      <c r="F16" s="6" t="inlineStr">
        <is>
          <t>520522100132</t>
        </is>
      </c>
      <c r="G16" s="4" t="inlineStr">
        <is>
          <t>051</t>
        </is>
      </c>
      <c r="H16" s="4" t="inlineStr">
        <is>
          <t>002</t>
        </is>
      </c>
      <c r="I16" s="4" t="inlineStr">
        <is>
          <t>100500</t>
        </is>
      </c>
      <c r="J16" s="4" t="n">
        <v>0</v>
      </c>
      <c r="K16" s="4" t="n">
        <v>0</v>
      </c>
      <c r="L16" s="4">
        <f>J16+K16</f>
        <v/>
      </c>
      <c r="M16" s="4" t="n">
        <v>0</v>
      </c>
      <c r="N16" s="4" t="n">
        <v>0</v>
      </c>
      <c r="O16" s="4">
        <f>M16+N16</f>
        <v/>
      </c>
      <c r="P16" s="4">
        <f>IF(L16=0,100,O16/L16*100)</f>
        <v/>
      </c>
      <c r="Q16" s="7" t="inlineStr">
        <is>
          <t>PRIORITAS</t>
        </is>
      </c>
    </row>
    <row r="17">
      <c r="B17" s="4" t="n">
        <v>10</v>
      </c>
      <c r="C17" s="5" t="inlineStr">
        <is>
          <t>Syahril Sidik</t>
        </is>
      </c>
      <c r="D17" s="6" t="inlineStr">
        <is>
          <t>520523050009</t>
        </is>
      </c>
      <c r="E17" s="5" t="inlineStr">
        <is>
          <t>MIRJAN ALHALIK</t>
        </is>
      </c>
      <c r="F17" s="6" t="inlineStr">
        <is>
          <t>520522100132</t>
        </is>
      </c>
      <c r="G17" s="4" t="inlineStr">
        <is>
          <t>051</t>
        </is>
      </c>
      <c r="H17" s="4" t="inlineStr">
        <is>
          <t>002</t>
        </is>
      </c>
      <c r="I17" s="4" t="inlineStr">
        <is>
          <t>100700</t>
        </is>
      </c>
      <c r="J17" s="4" t="n">
        <v>0</v>
      </c>
      <c r="K17" s="4" t="n">
        <v>0</v>
      </c>
      <c r="L17" s="4">
        <f>J17+K17</f>
        <v/>
      </c>
      <c r="M17" s="4" t="n">
        <v>0</v>
      </c>
      <c r="N17" s="4" t="n">
        <v>0</v>
      </c>
      <c r="O17" s="4">
        <f>M17+N17</f>
        <v/>
      </c>
      <c r="P17" s="4">
        <f>IF(L17=0,100,O17/L17*100)</f>
        <v/>
      </c>
      <c r="Q17" s="7" t="inlineStr">
        <is>
          <t>PRIORITAS</t>
        </is>
      </c>
    </row>
    <row r="18">
      <c r="B18" s="8" t="n">
        <v>11</v>
      </c>
      <c r="C18" s="9" t="inlineStr">
        <is>
          <t>Syahril Sidik</t>
        </is>
      </c>
      <c r="D18" s="10" t="inlineStr">
        <is>
          <t>520523050009</t>
        </is>
      </c>
      <c r="E18" s="9" t="inlineStr">
        <is>
          <t>MIRJAN ALHALIK</t>
        </is>
      </c>
      <c r="F18" s="10" t="inlineStr">
        <is>
          <t>520522100132</t>
        </is>
      </c>
      <c r="G18" s="8" t="inlineStr">
        <is>
          <t>051</t>
        </is>
      </c>
      <c r="H18" s="8" t="inlineStr">
        <is>
          <t>002</t>
        </is>
      </c>
      <c r="I18" s="8" t="inlineStr">
        <is>
          <t>200800</t>
        </is>
      </c>
      <c r="J18" s="8" t="n">
        <v>0</v>
      </c>
      <c r="K18" s="8" t="n">
        <v>1</v>
      </c>
      <c r="L18" s="8">
        <f>J18+K18</f>
        <v/>
      </c>
      <c r="M18" s="8" t="n">
        <v>0</v>
      </c>
      <c r="N18" s="8" t="n">
        <v>0</v>
      </c>
      <c r="O18" s="8">
        <f>M18+N18</f>
        <v/>
      </c>
      <c r="P18" s="8">
        <f>IF(L18=0,100,O18/L18*100)</f>
        <v/>
      </c>
      <c r="Q18" s="11" t="inlineStr"/>
    </row>
    <row r="19">
      <c r="B19" s="12" t="inlineStr">
        <is>
          <t>Jumlah</t>
        </is>
      </c>
      <c r="C19" s="13" t="n"/>
      <c r="D19" s="13" t="n"/>
      <c r="E19" s="13" t="n"/>
      <c r="F19" s="13" t="n"/>
      <c r="G19" s="13" t="n"/>
      <c r="H19" s="13" t="n"/>
      <c r="I19" s="14" t="n"/>
      <c r="J19" s="15">
        <f>SUM(J8:J18)</f>
        <v/>
      </c>
      <c r="K19" s="15">
        <f>SUM(K8:K18)</f>
        <v/>
      </c>
      <c r="L19" s="12">
        <f>SUM(L8:L18)</f>
        <v/>
      </c>
      <c r="M19" s="15">
        <f>SUM(M8:M18)</f>
        <v/>
      </c>
      <c r="N19" s="15">
        <f>SUM(N8:N18)</f>
        <v/>
      </c>
      <c r="O19" s="12">
        <f>SUM(O8:O18)</f>
        <v/>
      </c>
      <c r="P19" s="12">
        <f>IF(L19=0,100,O19/L19*100)</f>
        <v/>
      </c>
      <c r="Q19" s="10" t="inlineStr"/>
    </row>
  </sheetData>
  <mergeCells count="13">
    <mergeCell ref="G5:G6"/>
    <mergeCell ref="P5:P6"/>
    <mergeCell ref="J5:L5"/>
    <mergeCell ref="H5:H6"/>
    <mergeCell ref="Q5:Q6"/>
    <mergeCell ref="C5:D5"/>
    <mergeCell ref="M5:O5"/>
    <mergeCell ref="E5:F5"/>
    <mergeCell ref="B19:I19"/>
    <mergeCell ref="B2:Q2"/>
    <mergeCell ref="B5:B6"/>
    <mergeCell ref="I5:I6"/>
    <mergeCell ref="B3:Q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1"/>
    <row r="2" ht="24" customHeight="1">
      <c r="B2" s="1" t="inlineStr">
        <is>
          <t>Beban Kerja Petugas Lapangan SE2026 - LK PPK Termin 1 (BATCH 2)</t>
        </is>
      </c>
    </row>
    <row r="3" ht="24" customHeight="1">
      <c r="B3" s="1" t="inlineStr">
        <is>
          <t>PPL: EKO ANSHARI  |  PML: TAUFIKURRAMADHAN  |  Kab. Dompu, NTB</t>
        </is>
      </c>
    </row>
    <row r="4"/>
    <row r="5" ht="30.95" customHeight="1">
      <c r="B5" s="2" t="inlineStr">
        <is>
          <t>No</t>
        </is>
      </c>
      <c r="C5" s="2" t="inlineStr">
        <is>
          <t>PML</t>
        </is>
      </c>
      <c r="D5" s="14" t="n"/>
      <c r="E5" s="2" t="inlineStr">
        <is>
          <t>PPL</t>
        </is>
      </c>
      <c r="F5" s="14" t="n"/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K5" s="13" t="n"/>
      <c r="L5" s="14" t="n"/>
      <c r="M5" s="2" t="inlineStr">
        <is>
          <t>Realisasi</t>
        </is>
      </c>
      <c r="N5" s="13" t="n"/>
      <c r="O5" s="14" t="n"/>
      <c r="P5" s="2" t="inlineStr">
        <is>
          <t>Persentase (%)</t>
        </is>
      </c>
      <c r="Q5" s="2" t="inlineStr">
        <is>
          <t>Keterangan</t>
        </is>
      </c>
    </row>
    <row r="6" ht="20.45" customHeight="1">
      <c r="B6" s="18" t="n"/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G6" s="18" t="n"/>
      <c r="H6" s="18" t="n"/>
      <c r="I6" s="18" t="n"/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(BKU)</t>
        </is>
      </c>
      <c r="O6" s="2" t="inlineStr">
        <is>
          <t>Jumlah</t>
        </is>
      </c>
      <c r="P6" s="18" t="n"/>
      <c r="Q6" s="18" t="n"/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TAUFIKURRAMADHAN</t>
        </is>
      </c>
      <c r="D8" s="10" t="inlineStr">
        <is>
          <t>520522030011</t>
        </is>
      </c>
      <c r="E8" s="9" t="inlineStr">
        <is>
          <t>EKO ANSHARI</t>
        </is>
      </c>
      <c r="F8" s="10" t="inlineStr">
        <is>
          <t>520522030017</t>
        </is>
      </c>
      <c r="G8" s="8" t="inlineStr">
        <is>
          <t>020</t>
        </is>
      </c>
      <c r="H8" s="8" t="inlineStr">
        <is>
          <t>013</t>
        </is>
      </c>
      <c r="I8" s="8" t="inlineStr">
        <is>
          <t>000100</t>
        </is>
      </c>
      <c r="J8" s="8" t="n">
        <v>57</v>
      </c>
      <c r="K8" s="8" t="n">
        <v>19</v>
      </c>
      <c r="L8" s="8">
        <f>J8+K8</f>
        <v/>
      </c>
      <c r="M8" s="8" t="n">
        <v>0</v>
      </c>
      <c r="N8" s="8" t="n">
        <v>1</v>
      </c>
      <c r="O8" s="8">
        <f>M8+N8</f>
        <v/>
      </c>
      <c r="P8" s="8">
        <f>IF(L8=0,100,O8/L8*100)</f>
        <v/>
      </c>
      <c r="Q8" s="11" t="inlineStr"/>
    </row>
    <row r="9">
      <c r="B9" s="4" t="n">
        <v>2</v>
      </c>
      <c r="C9" s="5" t="inlineStr">
        <is>
          <t>TAUFIKURRAMADHAN</t>
        </is>
      </c>
      <c r="D9" s="6" t="inlineStr">
        <is>
          <t>520522030011</t>
        </is>
      </c>
      <c r="E9" s="5" t="inlineStr">
        <is>
          <t>EKO ANSHARI</t>
        </is>
      </c>
      <c r="F9" s="6" t="inlineStr">
        <is>
          <t>520522030017</t>
        </is>
      </c>
      <c r="G9" s="4" t="inlineStr">
        <is>
          <t>020</t>
        </is>
      </c>
      <c r="H9" s="4" t="inlineStr">
        <is>
          <t>013</t>
        </is>
      </c>
      <c r="I9" s="4" t="inlineStr">
        <is>
          <t>000200</t>
        </is>
      </c>
      <c r="J9" s="4" t="n">
        <v>115</v>
      </c>
      <c r="K9" s="4" t="n">
        <v>35</v>
      </c>
      <c r="L9" s="4">
        <f>J9+K9</f>
        <v/>
      </c>
      <c r="M9" s="4" t="n">
        <v>108</v>
      </c>
      <c r="N9" s="4" t="n">
        <v>30</v>
      </c>
      <c r="O9" s="4">
        <f>M9+N9</f>
        <v/>
      </c>
      <c r="P9" s="4">
        <f>IF(L9=0,100,O9/L9*100)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TAUFIKURRAMADHAN</t>
        </is>
      </c>
      <c r="D10" s="6" t="inlineStr">
        <is>
          <t>520522030011</t>
        </is>
      </c>
      <c r="E10" s="5" t="inlineStr">
        <is>
          <t>EKO ANSHARI</t>
        </is>
      </c>
      <c r="F10" s="6" t="inlineStr">
        <is>
          <t>520522030017</t>
        </is>
      </c>
      <c r="G10" s="4" t="inlineStr">
        <is>
          <t>020</t>
        </is>
      </c>
      <c r="H10" s="4" t="inlineStr">
        <is>
          <t>013</t>
        </is>
      </c>
      <c r="I10" s="4" t="inlineStr">
        <is>
          <t>000300</t>
        </is>
      </c>
      <c r="J10" s="4" t="n">
        <v>54</v>
      </c>
      <c r="K10" s="4" t="n">
        <v>24</v>
      </c>
      <c r="L10" s="4">
        <f>J10+K10</f>
        <v/>
      </c>
      <c r="M10" s="4" t="n">
        <v>56</v>
      </c>
      <c r="N10" s="4" t="n">
        <v>11</v>
      </c>
      <c r="O10" s="4">
        <f>M10+N10</f>
        <v/>
      </c>
      <c r="P10" s="4">
        <f>IF(L10=0,100,O10/L10*100)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TAUFIKURRAMADHAN</t>
        </is>
      </c>
      <c r="D11" s="10" t="inlineStr">
        <is>
          <t>520522030011</t>
        </is>
      </c>
      <c r="E11" s="9" t="inlineStr">
        <is>
          <t>EKO ANSHARI</t>
        </is>
      </c>
      <c r="F11" s="10" t="inlineStr">
        <is>
          <t>520522030017</t>
        </is>
      </c>
      <c r="G11" s="8" t="inlineStr">
        <is>
          <t>020</t>
        </is>
      </c>
      <c r="H11" s="8" t="inlineStr">
        <is>
          <t>013</t>
        </is>
      </c>
      <c r="I11" s="8" t="inlineStr">
        <is>
          <t>000400</t>
        </is>
      </c>
      <c r="J11" s="8" t="n">
        <v>58</v>
      </c>
      <c r="K11" s="8" t="n">
        <v>14</v>
      </c>
      <c r="L11" s="8">
        <f>J11+K11</f>
        <v/>
      </c>
      <c r="M11" s="8" t="n">
        <v>10</v>
      </c>
      <c r="N11" s="8" t="n">
        <v>0</v>
      </c>
      <c r="O11" s="8">
        <f>M11+N11</f>
        <v/>
      </c>
      <c r="P11" s="8">
        <f>IF(L11=0,100,O11/L11*100)</f>
        <v/>
      </c>
      <c r="Q11" s="11" t="inlineStr"/>
    </row>
    <row r="12">
      <c r="B12" s="8" t="n">
        <v>5</v>
      </c>
      <c r="C12" s="9" t="inlineStr">
        <is>
          <t>TAUFIKURRAMADHAN</t>
        </is>
      </c>
      <c r="D12" s="10" t="inlineStr">
        <is>
          <t>520522030011</t>
        </is>
      </c>
      <c r="E12" s="9" t="inlineStr">
        <is>
          <t>EKO ANSHARI</t>
        </is>
      </c>
      <c r="F12" s="10" t="inlineStr">
        <is>
          <t>520522030017</t>
        </is>
      </c>
      <c r="G12" s="8" t="inlineStr">
        <is>
          <t>020</t>
        </is>
      </c>
      <c r="H12" s="8" t="inlineStr">
        <is>
          <t>013</t>
        </is>
      </c>
      <c r="I12" s="8" t="inlineStr">
        <is>
          <t>000600</t>
        </is>
      </c>
      <c r="J12" s="8" t="n">
        <v>48</v>
      </c>
      <c r="K12" s="8" t="n">
        <v>12</v>
      </c>
      <c r="L12" s="8">
        <f>J12+K12</f>
        <v/>
      </c>
      <c r="M12" s="8" t="n">
        <v>0</v>
      </c>
      <c r="N12" s="8" t="n">
        <v>0</v>
      </c>
      <c r="O12" s="8">
        <f>M12+N12</f>
        <v/>
      </c>
      <c r="P12" s="8">
        <f>IF(L12=0,100,O12/L12*100)</f>
        <v/>
      </c>
      <c r="Q12" s="11" t="inlineStr"/>
    </row>
    <row r="13">
      <c r="B13" s="4" t="n">
        <v>6</v>
      </c>
      <c r="C13" s="5" t="inlineStr">
        <is>
          <t>TAUFIKURRAMADHAN</t>
        </is>
      </c>
      <c r="D13" s="6" t="inlineStr">
        <is>
          <t>520522030011</t>
        </is>
      </c>
      <c r="E13" s="5" t="inlineStr">
        <is>
          <t>EKO ANSHARI</t>
        </is>
      </c>
      <c r="F13" s="6" t="inlineStr">
        <is>
          <t>520522030017</t>
        </is>
      </c>
      <c r="G13" s="4" t="inlineStr">
        <is>
          <t>020</t>
        </is>
      </c>
      <c r="H13" s="4" t="inlineStr">
        <is>
          <t>013</t>
        </is>
      </c>
      <c r="I13" s="4" t="inlineStr">
        <is>
          <t>000700</t>
        </is>
      </c>
      <c r="J13" s="4" t="n">
        <v>101</v>
      </c>
      <c r="K13" s="4" t="n">
        <v>61</v>
      </c>
      <c r="L13" s="4">
        <f>J13+K13</f>
        <v/>
      </c>
      <c r="M13" s="4" t="n">
        <v>102</v>
      </c>
      <c r="N13" s="4" t="n">
        <v>54</v>
      </c>
      <c r="O13" s="4">
        <f>M13+N13</f>
        <v/>
      </c>
      <c r="P13" s="4">
        <f>IF(L13=0,100,O13/L13*100)</f>
        <v/>
      </c>
      <c r="Q13" s="7" t="inlineStr">
        <is>
          <t>PRIORITAS</t>
        </is>
      </c>
    </row>
    <row r="14">
      <c r="B14" s="12" t="inlineStr">
        <is>
          <t>Jumlah</t>
        </is>
      </c>
      <c r="C14" s="13" t="n"/>
      <c r="D14" s="13" t="n"/>
      <c r="E14" s="13" t="n"/>
      <c r="F14" s="13" t="n"/>
      <c r="G14" s="13" t="n"/>
      <c r="H14" s="13" t="n"/>
      <c r="I14" s="14" t="n"/>
      <c r="J14" s="15">
        <f>SUM(J8:J13)</f>
        <v/>
      </c>
      <c r="K14" s="15">
        <f>SUM(K8:K13)</f>
        <v/>
      </c>
      <c r="L14" s="12">
        <f>SUM(L8:L13)</f>
        <v/>
      </c>
      <c r="M14" s="15">
        <f>SUM(M8:M13)</f>
        <v/>
      </c>
      <c r="N14" s="15">
        <f>SUM(N8:N13)</f>
        <v/>
      </c>
      <c r="O14" s="12">
        <f>SUM(O8:O13)</f>
        <v/>
      </c>
      <c r="P14" s="12">
        <f>IF(L14=0,100,O14/L14*100)</f>
        <v/>
      </c>
      <c r="Q14" s="10" t="inlineStr"/>
    </row>
  </sheetData>
  <mergeCells count="13">
    <mergeCell ref="G5:G6"/>
    <mergeCell ref="P5:P6"/>
    <mergeCell ref="J5:L5"/>
    <mergeCell ref="H5:H6"/>
    <mergeCell ref="Q5:Q6"/>
    <mergeCell ref="C5:D5"/>
    <mergeCell ref="M5:O5"/>
    <mergeCell ref="E5:F5"/>
    <mergeCell ref="B14:I14"/>
    <mergeCell ref="B2:Q2"/>
    <mergeCell ref="B5:B6"/>
    <mergeCell ref="I5:I6"/>
    <mergeCell ref="B3:Q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1"/>
    <row r="2" ht="24" customHeight="1">
      <c r="B2" s="1" t="inlineStr">
        <is>
          <t>Beban Kerja Petugas Lapangan SE2026 - LK PPK Termin 1 (BATCH 2)</t>
        </is>
      </c>
    </row>
    <row r="3" ht="24" customHeight="1">
      <c r="B3" s="1" t="inlineStr">
        <is>
          <t>PPL: Nurul Khotimah  |  PML: TAUFIKURRAMADHAN  |  Kab. Dompu, NTB</t>
        </is>
      </c>
    </row>
    <row r="4"/>
    <row r="5" ht="30.95" customHeight="1">
      <c r="B5" s="2" t="inlineStr">
        <is>
          <t>No</t>
        </is>
      </c>
      <c r="C5" s="2" t="inlineStr">
        <is>
          <t>PML</t>
        </is>
      </c>
      <c r="D5" s="14" t="n"/>
      <c r="E5" s="2" t="inlineStr">
        <is>
          <t>PPL</t>
        </is>
      </c>
      <c r="F5" s="14" t="n"/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K5" s="13" t="n"/>
      <c r="L5" s="14" t="n"/>
      <c r="M5" s="2" t="inlineStr">
        <is>
          <t>Realisasi</t>
        </is>
      </c>
      <c r="N5" s="13" t="n"/>
      <c r="O5" s="14" t="n"/>
      <c r="P5" s="2" t="inlineStr">
        <is>
          <t>Persentase (%)</t>
        </is>
      </c>
      <c r="Q5" s="2" t="inlineStr">
        <is>
          <t>Keterangan</t>
        </is>
      </c>
    </row>
    <row r="6" ht="20.45" customHeight="1">
      <c r="B6" s="18" t="n"/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G6" s="18" t="n"/>
      <c r="H6" s="18" t="n"/>
      <c r="I6" s="18" t="n"/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(BKU)</t>
        </is>
      </c>
      <c r="O6" s="2" t="inlineStr">
        <is>
          <t>Jumlah</t>
        </is>
      </c>
      <c r="P6" s="18" t="n"/>
      <c r="Q6" s="18" t="n"/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TAUFIKURRAMADHAN</t>
        </is>
      </c>
      <c r="D8" s="10" t="inlineStr">
        <is>
          <t>520522030011</t>
        </is>
      </c>
      <c r="E8" s="9" t="inlineStr">
        <is>
          <t>Nurul Khotimah</t>
        </is>
      </c>
      <c r="F8" s="10" t="inlineStr">
        <is>
          <t>520523060005</t>
        </is>
      </c>
      <c r="G8" s="8" t="inlineStr">
        <is>
          <t>020</t>
        </is>
      </c>
      <c r="H8" s="8" t="inlineStr">
        <is>
          <t>007</t>
        </is>
      </c>
      <c r="I8" s="8" t="inlineStr">
        <is>
          <t>000500</t>
        </is>
      </c>
      <c r="J8" s="8" t="n">
        <v>44</v>
      </c>
      <c r="K8" s="8" t="n">
        <v>44</v>
      </c>
      <c r="L8" s="8">
        <f>J8+K8</f>
        <v/>
      </c>
      <c r="M8" s="8" t="n">
        <v>1</v>
      </c>
      <c r="N8" s="8" t="n">
        <v>14</v>
      </c>
      <c r="O8" s="8">
        <f>M8+N8</f>
        <v/>
      </c>
      <c r="P8" s="8">
        <f>IF(L8=0,100,O8/L8*100)</f>
        <v/>
      </c>
      <c r="Q8" s="11" t="inlineStr"/>
    </row>
    <row r="9">
      <c r="B9" s="8" t="n">
        <v>2</v>
      </c>
      <c r="C9" s="9" t="inlineStr">
        <is>
          <t>TAUFIKURRAMADHAN</t>
        </is>
      </c>
      <c r="D9" s="10" t="inlineStr">
        <is>
          <t>520522030011</t>
        </is>
      </c>
      <c r="E9" s="9" t="inlineStr">
        <is>
          <t>Nurul Khotimah</t>
        </is>
      </c>
      <c r="F9" s="10" t="inlineStr">
        <is>
          <t>520523060005</t>
        </is>
      </c>
      <c r="G9" s="8" t="inlineStr">
        <is>
          <t>020</t>
        </is>
      </c>
      <c r="H9" s="8" t="inlineStr">
        <is>
          <t>007</t>
        </is>
      </c>
      <c r="I9" s="8" t="inlineStr">
        <is>
          <t>000600</t>
        </is>
      </c>
      <c r="J9" s="8" t="n">
        <v>44</v>
      </c>
      <c r="K9" s="8" t="n">
        <v>69</v>
      </c>
      <c r="L9" s="8">
        <f>J9+K9</f>
        <v/>
      </c>
      <c r="M9" s="8" t="n">
        <v>5</v>
      </c>
      <c r="N9" s="8" t="n">
        <v>27</v>
      </c>
      <c r="O9" s="8">
        <f>M9+N9</f>
        <v/>
      </c>
      <c r="P9" s="8">
        <f>IF(L9=0,100,O9/L9*100)</f>
        <v/>
      </c>
      <c r="Q9" s="11" t="inlineStr"/>
    </row>
    <row r="10">
      <c r="B10" s="4" t="n">
        <v>3</v>
      </c>
      <c r="C10" s="5" t="inlineStr">
        <is>
          <t>TAUFIKURRAMADHAN</t>
        </is>
      </c>
      <c r="D10" s="6" t="inlineStr">
        <is>
          <t>520522030011</t>
        </is>
      </c>
      <c r="E10" s="5" t="inlineStr">
        <is>
          <t>Nurul Khotimah</t>
        </is>
      </c>
      <c r="F10" s="6" t="inlineStr">
        <is>
          <t>520523060005</t>
        </is>
      </c>
      <c r="G10" s="4" t="inlineStr">
        <is>
          <t>020</t>
        </is>
      </c>
      <c r="H10" s="4" t="inlineStr">
        <is>
          <t>007</t>
        </is>
      </c>
      <c r="I10" s="4" t="inlineStr">
        <is>
          <t>000700</t>
        </is>
      </c>
      <c r="J10" s="4" t="n">
        <v>19</v>
      </c>
      <c r="K10" s="4" t="n">
        <v>79</v>
      </c>
      <c r="L10" s="4">
        <f>J10+K10</f>
        <v/>
      </c>
      <c r="M10" s="4" t="n">
        <v>39</v>
      </c>
      <c r="N10" s="4" t="n">
        <v>83</v>
      </c>
      <c r="O10" s="4">
        <f>M10+N10</f>
        <v/>
      </c>
      <c r="P10" s="4">
        <f>IF(L10=0,100,O10/L10*100)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TAUFIKURRAMADHAN</t>
        </is>
      </c>
      <c r="D11" s="6" t="inlineStr">
        <is>
          <t>520522030011</t>
        </is>
      </c>
      <c r="E11" s="5" t="inlineStr">
        <is>
          <t>Nurul Khotimah</t>
        </is>
      </c>
      <c r="F11" s="6" t="inlineStr">
        <is>
          <t>520523060005</t>
        </is>
      </c>
      <c r="G11" s="4" t="inlineStr">
        <is>
          <t>020</t>
        </is>
      </c>
      <c r="H11" s="4" t="inlineStr">
        <is>
          <t>008</t>
        </is>
      </c>
      <c r="I11" s="4" t="inlineStr">
        <is>
          <t>001400</t>
        </is>
      </c>
      <c r="J11" s="4" t="n">
        <v>130</v>
      </c>
      <c r="K11" s="4" t="n">
        <v>78</v>
      </c>
      <c r="L11" s="4">
        <f>J11+K11</f>
        <v/>
      </c>
      <c r="M11" s="4" t="n">
        <v>142</v>
      </c>
      <c r="N11" s="4" t="n">
        <v>55</v>
      </c>
      <c r="O11" s="4">
        <f>M11+N11</f>
        <v/>
      </c>
      <c r="P11" s="4">
        <f>IF(L11=0,100,O11/L11*100)</f>
        <v/>
      </c>
      <c r="Q11" s="7" t="inlineStr">
        <is>
          <t>PRIORITAS</t>
        </is>
      </c>
    </row>
    <row r="12">
      <c r="B12" s="4" t="n">
        <v>5</v>
      </c>
      <c r="C12" s="5" t="inlineStr">
        <is>
          <t>TAUFIKURRAMADHAN</t>
        </is>
      </c>
      <c r="D12" s="6" t="inlineStr">
        <is>
          <t>520522030011</t>
        </is>
      </c>
      <c r="E12" s="5" t="inlineStr">
        <is>
          <t>Nurul Khotimah</t>
        </is>
      </c>
      <c r="F12" s="6" t="inlineStr">
        <is>
          <t>520523060005</t>
        </is>
      </c>
      <c r="G12" s="4" t="inlineStr">
        <is>
          <t>020</t>
        </is>
      </c>
      <c r="H12" s="4" t="inlineStr">
        <is>
          <t>011</t>
        </is>
      </c>
      <c r="I12" s="4" t="inlineStr">
        <is>
          <t>000200</t>
        </is>
      </c>
      <c r="J12" s="4" t="n">
        <v>46</v>
      </c>
      <c r="K12" s="4" t="n">
        <v>2</v>
      </c>
      <c r="L12" s="4">
        <f>J12+K12</f>
        <v/>
      </c>
      <c r="M12" s="4" t="n">
        <v>49</v>
      </c>
      <c r="N12" s="4" t="n">
        <v>0</v>
      </c>
      <c r="O12" s="4">
        <f>M12+N12</f>
        <v/>
      </c>
      <c r="P12" s="4">
        <f>IF(L12=0,100,O12/L12*100)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TAUFIKURRAMADHAN</t>
        </is>
      </c>
      <c r="D13" s="10" t="inlineStr">
        <is>
          <t>520522030011</t>
        </is>
      </c>
      <c r="E13" s="9" t="inlineStr">
        <is>
          <t>Nurul Khotimah</t>
        </is>
      </c>
      <c r="F13" s="10" t="inlineStr">
        <is>
          <t>520523060005</t>
        </is>
      </c>
      <c r="G13" s="8" t="inlineStr">
        <is>
          <t>020</t>
        </is>
      </c>
      <c r="H13" s="8" t="inlineStr">
        <is>
          <t>011</t>
        </is>
      </c>
      <c r="I13" s="8" t="inlineStr">
        <is>
          <t>000800</t>
        </is>
      </c>
      <c r="J13" s="8" t="n">
        <v>40</v>
      </c>
      <c r="K13" s="8" t="n">
        <v>11</v>
      </c>
      <c r="L13" s="8">
        <f>J13+K13</f>
        <v/>
      </c>
      <c r="M13" s="8" t="n">
        <v>1</v>
      </c>
      <c r="N13" s="8" t="n">
        <v>0</v>
      </c>
      <c r="O13" s="8">
        <f>M13+N13</f>
        <v/>
      </c>
      <c r="P13" s="8">
        <f>IF(L13=0,100,O13/L13*100)</f>
        <v/>
      </c>
      <c r="Q13" s="11" t="inlineStr"/>
    </row>
    <row r="14">
      <c r="B14" s="12" t="inlineStr">
        <is>
          <t>Jumlah</t>
        </is>
      </c>
      <c r="C14" s="13" t="n"/>
      <c r="D14" s="13" t="n"/>
      <c r="E14" s="13" t="n"/>
      <c r="F14" s="13" t="n"/>
      <c r="G14" s="13" t="n"/>
      <c r="H14" s="13" t="n"/>
      <c r="I14" s="14" t="n"/>
      <c r="J14" s="15">
        <f>SUM(J8:J13)</f>
        <v/>
      </c>
      <c r="K14" s="15">
        <f>SUM(K8:K13)</f>
        <v/>
      </c>
      <c r="L14" s="12">
        <f>SUM(L8:L13)</f>
        <v/>
      </c>
      <c r="M14" s="15">
        <f>SUM(M8:M13)</f>
        <v/>
      </c>
      <c r="N14" s="15">
        <f>SUM(N8:N13)</f>
        <v/>
      </c>
      <c r="O14" s="12">
        <f>SUM(O8:O13)</f>
        <v/>
      </c>
      <c r="P14" s="12">
        <f>IF(L14=0,100,O14/L14*100)</f>
        <v/>
      </c>
      <c r="Q14" s="10" t="inlineStr"/>
    </row>
  </sheetData>
  <mergeCells count="13">
    <mergeCell ref="G5:G6"/>
    <mergeCell ref="P5:P6"/>
    <mergeCell ref="J5:L5"/>
    <mergeCell ref="H5:H6"/>
    <mergeCell ref="Q5:Q6"/>
    <mergeCell ref="C5:D5"/>
    <mergeCell ref="M5:O5"/>
    <mergeCell ref="E5:F5"/>
    <mergeCell ref="B14:I14"/>
    <mergeCell ref="B2:Q2"/>
    <mergeCell ref="B5:B6"/>
    <mergeCell ref="I5:I6"/>
    <mergeCell ref="B3:Q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1"/>
    <row r="2" ht="24" customHeight="1">
      <c r="B2" s="1" t="inlineStr">
        <is>
          <t>Beban Kerja Petugas Lapangan SE2026 - LK PPK Termin 1 (BATCH 2)</t>
        </is>
      </c>
    </row>
    <row r="3" ht="24" customHeight="1">
      <c r="B3" s="1" t="inlineStr">
        <is>
          <t>PPL: SRI SUSANTI  |  PML: YUSUF  |  Kab. Dompu, NTB</t>
        </is>
      </c>
    </row>
    <row r="4"/>
    <row r="5" ht="30.95" customHeight="1">
      <c r="B5" s="2" t="inlineStr">
        <is>
          <t>No</t>
        </is>
      </c>
      <c r="C5" s="2" t="inlineStr">
        <is>
          <t>PML</t>
        </is>
      </c>
      <c r="D5" s="14" t="n"/>
      <c r="E5" s="2" t="inlineStr">
        <is>
          <t>PPL</t>
        </is>
      </c>
      <c r="F5" s="14" t="n"/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K5" s="13" t="n"/>
      <c r="L5" s="14" t="n"/>
      <c r="M5" s="2" t="inlineStr">
        <is>
          <t>Realisasi</t>
        </is>
      </c>
      <c r="N5" s="13" t="n"/>
      <c r="O5" s="14" t="n"/>
      <c r="P5" s="2" t="inlineStr">
        <is>
          <t>Persentase (%)</t>
        </is>
      </c>
      <c r="Q5" s="2" t="inlineStr">
        <is>
          <t>Keterangan</t>
        </is>
      </c>
    </row>
    <row r="6" ht="20.45" customHeight="1">
      <c r="B6" s="18" t="n"/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G6" s="18" t="n"/>
      <c r="H6" s="18" t="n"/>
      <c r="I6" s="18" t="n"/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(BKU)</t>
        </is>
      </c>
      <c r="O6" s="2" t="inlineStr">
        <is>
          <t>Jumlah</t>
        </is>
      </c>
      <c r="P6" s="18" t="n"/>
      <c r="Q6" s="18" t="n"/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YUSUF</t>
        </is>
      </c>
      <c r="D8" s="10" t="inlineStr">
        <is>
          <t>520522030006</t>
        </is>
      </c>
      <c r="E8" s="9" t="inlineStr">
        <is>
          <t>SRI SUSANTI</t>
        </is>
      </c>
      <c r="F8" s="10" t="inlineStr">
        <is>
          <t>520525110028</t>
        </is>
      </c>
      <c r="G8" s="8" t="inlineStr">
        <is>
          <t>030</t>
        </is>
      </c>
      <c r="H8" s="8" t="inlineStr">
        <is>
          <t>002</t>
        </is>
      </c>
      <c r="I8" s="8" t="inlineStr">
        <is>
          <t>000300</t>
        </is>
      </c>
      <c r="J8" s="8" t="n">
        <v>76</v>
      </c>
      <c r="K8" s="8" t="n">
        <v>22</v>
      </c>
      <c r="L8" s="8">
        <f>J8+K8</f>
        <v/>
      </c>
      <c r="M8" s="8" t="n">
        <v>0</v>
      </c>
      <c r="N8" s="8" t="n">
        <v>1</v>
      </c>
      <c r="O8" s="8">
        <f>M8+N8</f>
        <v/>
      </c>
      <c r="P8" s="8">
        <f>IF(L8=0,100,O8/L8*100)</f>
        <v/>
      </c>
      <c r="Q8" s="11" t="inlineStr"/>
    </row>
    <row r="9">
      <c r="B9" s="4" t="n">
        <v>2</v>
      </c>
      <c r="C9" s="5" t="inlineStr">
        <is>
          <t>YUSUF</t>
        </is>
      </c>
      <c r="D9" s="6" t="inlineStr">
        <is>
          <t>520522030006</t>
        </is>
      </c>
      <c r="E9" s="5" t="inlineStr">
        <is>
          <t>SRI SUSANTI</t>
        </is>
      </c>
      <c r="F9" s="6" t="inlineStr">
        <is>
          <t>520525110028</t>
        </is>
      </c>
      <c r="G9" s="4" t="inlineStr">
        <is>
          <t>030</t>
        </is>
      </c>
      <c r="H9" s="4" t="inlineStr">
        <is>
          <t>003</t>
        </is>
      </c>
      <c r="I9" s="4" t="inlineStr">
        <is>
          <t>001900</t>
        </is>
      </c>
      <c r="J9" s="4" t="n">
        <v>63</v>
      </c>
      <c r="K9" s="4" t="n">
        <v>56</v>
      </c>
      <c r="L9" s="4">
        <f>J9+K9</f>
        <v/>
      </c>
      <c r="M9" s="4" t="n">
        <v>102</v>
      </c>
      <c r="N9" s="4" t="n">
        <v>59</v>
      </c>
      <c r="O9" s="4">
        <f>M9+N9</f>
        <v/>
      </c>
      <c r="P9" s="4">
        <f>IF(L9=0,100,O9/L9*100)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YUSUF</t>
        </is>
      </c>
      <c r="D10" s="10" t="inlineStr">
        <is>
          <t>520522030006</t>
        </is>
      </c>
      <c r="E10" s="9" t="inlineStr">
        <is>
          <t>SRI SUSANTI</t>
        </is>
      </c>
      <c r="F10" s="10" t="inlineStr">
        <is>
          <t>520525110028</t>
        </is>
      </c>
      <c r="G10" s="8" t="inlineStr">
        <is>
          <t>030</t>
        </is>
      </c>
      <c r="H10" s="8" t="inlineStr">
        <is>
          <t>013</t>
        </is>
      </c>
      <c r="I10" s="8" t="inlineStr">
        <is>
          <t>000100</t>
        </is>
      </c>
      <c r="J10" s="8" t="n">
        <v>52</v>
      </c>
      <c r="K10" s="8" t="n">
        <v>11</v>
      </c>
      <c r="L10" s="8">
        <f>J10+K10</f>
        <v/>
      </c>
      <c r="M10" s="8" t="n">
        <v>0</v>
      </c>
      <c r="N10" s="8" t="n">
        <v>0</v>
      </c>
      <c r="O10" s="8">
        <f>M10+N10</f>
        <v/>
      </c>
      <c r="P10" s="8">
        <f>IF(L10=0,100,O10/L10*100)</f>
        <v/>
      </c>
      <c r="Q10" s="11" t="inlineStr"/>
    </row>
    <row r="11">
      <c r="B11" s="8" t="n">
        <v>4</v>
      </c>
      <c r="C11" s="9" t="inlineStr">
        <is>
          <t>YUSUF</t>
        </is>
      </c>
      <c r="D11" s="10" t="inlineStr">
        <is>
          <t>520522030006</t>
        </is>
      </c>
      <c r="E11" s="9" t="inlineStr">
        <is>
          <t>SRI SUSANTI</t>
        </is>
      </c>
      <c r="F11" s="10" t="inlineStr">
        <is>
          <t>520525110028</t>
        </is>
      </c>
      <c r="G11" s="8" t="inlineStr">
        <is>
          <t>030</t>
        </is>
      </c>
      <c r="H11" s="8" t="inlineStr">
        <is>
          <t>013</t>
        </is>
      </c>
      <c r="I11" s="8" t="inlineStr">
        <is>
          <t>000900</t>
        </is>
      </c>
      <c r="J11" s="8" t="n">
        <v>56</v>
      </c>
      <c r="K11" s="8" t="n">
        <v>10</v>
      </c>
      <c r="L11" s="8">
        <f>J11+K11</f>
        <v/>
      </c>
      <c r="M11" s="8" t="n">
        <v>0</v>
      </c>
      <c r="N11" s="8" t="n">
        <v>0</v>
      </c>
      <c r="O11" s="8">
        <f>M11+N11</f>
        <v/>
      </c>
      <c r="P11" s="8">
        <f>IF(L11=0,100,O11/L11*100)</f>
        <v/>
      </c>
      <c r="Q11" s="11" t="inlineStr"/>
    </row>
    <row r="12">
      <c r="B12" s="4" t="n">
        <v>5</v>
      </c>
      <c r="C12" s="5" t="inlineStr">
        <is>
          <t>YUSUF</t>
        </is>
      </c>
      <c r="D12" s="6" t="inlineStr">
        <is>
          <t>520522030006</t>
        </is>
      </c>
      <c r="E12" s="5" t="inlineStr">
        <is>
          <t>SRI SUSANTI</t>
        </is>
      </c>
      <c r="F12" s="6" t="inlineStr">
        <is>
          <t>520525110028</t>
        </is>
      </c>
      <c r="G12" s="4" t="inlineStr">
        <is>
          <t>030</t>
        </is>
      </c>
      <c r="H12" s="4" t="inlineStr">
        <is>
          <t>013</t>
        </is>
      </c>
      <c r="I12" s="4" t="inlineStr">
        <is>
          <t>001200</t>
        </is>
      </c>
      <c r="J12" s="4" t="n">
        <v>34</v>
      </c>
      <c r="K12" s="4" t="n">
        <v>57</v>
      </c>
      <c r="L12" s="4">
        <f>J12+K12</f>
        <v/>
      </c>
      <c r="M12" s="4" t="n">
        <v>51</v>
      </c>
      <c r="N12" s="4" t="n">
        <v>48</v>
      </c>
      <c r="O12" s="4">
        <f>M12+N12</f>
        <v/>
      </c>
      <c r="P12" s="4">
        <f>IF(L12=0,100,O12/L12*100)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YUSUF</t>
        </is>
      </c>
      <c r="D13" s="10" t="inlineStr">
        <is>
          <t>520522030006</t>
        </is>
      </c>
      <c r="E13" s="9" t="inlineStr">
        <is>
          <t>SRI SUSANTI</t>
        </is>
      </c>
      <c r="F13" s="10" t="inlineStr">
        <is>
          <t>520525110028</t>
        </is>
      </c>
      <c r="G13" s="8" t="inlineStr">
        <is>
          <t>030</t>
        </is>
      </c>
      <c r="H13" s="8" t="inlineStr">
        <is>
          <t>014</t>
        </is>
      </c>
      <c r="I13" s="8" t="inlineStr">
        <is>
          <t>000100</t>
        </is>
      </c>
      <c r="J13" s="8" t="n">
        <v>68</v>
      </c>
      <c r="K13" s="8" t="n">
        <v>9</v>
      </c>
      <c r="L13" s="8">
        <f>J13+K13</f>
        <v/>
      </c>
      <c r="M13" s="8" t="n">
        <v>0</v>
      </c>
      <c r="N13" s="8" t="n">
        <v>0</v>
      </c>
      <c r="O13" s="8">
        <f>M13+N13</f>
        <v/>
      </c>
      <c r="P13" s="8">
        <f>IF(L13=0,100,O13/L13*100)</f>
        <v/>
      </c>
      <c r="Q13" s="11" t="inlineStr"/>
    </row>
    <row r="14">
      <c r="B14" s="4" t="n">
        <v>7</v>
      </c>
      <c r="C14" s="5" t="inlineStr">
        <is>
          <t>YUSUF</t>
        </is>
      </c>
      <c r="D14" s="6" t="inlineStr">
        <is>
          <t>520522030006</t>
        </is>
      </c>
      <c r="E14" s="5" t="inlineStr">
        <is>
          <t>SRI SUSANTI</t>
        </is>
      </c>
      <c r="F14" s="6" t="inlineStr">
        <is>
          <t>520525110028</t>
        </is>
      </c>
      <c r="G14" s="4" t="inlineStr">
        <is>
          <t>030</t>
        </is>
      </c>
      <c r="H14" s="4" t="inlineStr">
        <is>
          <t>014</t>
        </is>
      </c>
      <c r="I14" s="4" t="inlineStr">
        <is>
          <t>001000</t>
        </is>
      </c>
      <c r="J14" s="4" t="n">
        <v>70</v>
      </c>
      <c r="K14" s="4" t="n">
        <v>17</v>
      </c>
      <c r="L14" s="4">
        <f>J14+K14</f>
        <v/>
      </c>
      <c r="M14" s="4" t="n">
        <v>96</v>
      </c>
      <c r="N14" s="4" t="n">
        <v>15</v>
      </c>
      <c r="O14" s="4">
        <f>M14+N14</f>
        <v/>
      </c>
      <c r="P14" s="4">
        <f>IF(L14=0,100,O14/L14*100)</f>
        <v/>
      </c>
      <c r="Q14" s="7" t="inlineStr">
        <is>
          <t>PRIORITAS</t>
        </is>
      </c>
    </row>
    <row r="15">
      <c r="B15" s="12" t="inlineStr">
        <is>
          <t>Jumlah</t>
        </is>
      </c>
      <c r="C15" s="13" t="n"/>
      <c r="D15" s="13" t="n"/>
      <c r="E15" s="13" t="n"/>
      <c r="F15" s="13" t="n"/>
      <c r="G15" s="13" t="n"/>
      <c r="H15" s="13" t="n"/>
      <c r="I15" s="14" t="n"/>
      <c r="J15" s="15">
        <f>SUM(J8:J14)</f>
        <v/>
      </c>
      <c r="K15" s="15">
        <f>SUM(K8:K14)</f>
        <v/>
      </c>
      <c r="L15" s="12">
        <f>SUM(L8:L14)</f>
        <v/>
      </c>
      <c r="M15" s="15">
        <f>SUM(M8:M14)</f>
        <v/>
      </c>
      <c r="N15" s="15">
        <f>SUM(N8:N14)</f>
        <v/>
      </c>
      <c r="O15" s="12">
        <f>SUM(O8:O14)</f>
        <v/>
      </c>
      <c r="P15" s="12">
        <f>IF(L15=0,100,O15/L15*100)</f>
        <v/>
      </c>
      <c r="Q15" s="10" t="inlineStr"/>
    </row>
  </sheetData>
  <mergeCells count="13">
    <mergeCell ref="G5:G6"/>
    <mergeCell ref="P5:P6"/>
    <mergeCell ref="J5:L5"/>
    <mergeCell ref="H5:H6"/>
    <mergeCell ref="Q5:Q6"/>
    <mergeCell ref="B15:I15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2026-07-19T10:25:42Z</dcterms:created>
  <dcterms:modified xmlns:dcterms="http://purl.org/dc/terms/" xmlns:xsi="http://www.w3.org/2001/XMLSchema-instance" xsi:type="dcterms:W3CDTF">2026-07-20T01:03:47Z</dcterms:modified>
</cp:coreProperties>
</file>