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Moh Naufal" sheetId="2" state="visible" r:id="rId2"/>
    <sheet xmlns:r="http://schemas.openxmlformats.org/officeDocument/2006/relationships" name="IIN NURROHMADANIL" sheetId="3" state="visible" r:id="rId3"/>
    <sheet xmlns:r="http://schemas.openxmlformats.org/officeDocument/2006/relationships" name="Sarw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4, REKAP)</t>
        </is>
      </c>
    </row>
    <row r="3" ht="24" customHeight="1">
      <c r="B3" s="1" t="inlineStr">
        <is>
          <t>Kabupaten Dompu, NTB — Realisasi Usaha = BKU saja (tanpa Usaha dalam Keluarga)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 t="n">
        <v>36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 t="n">
        <v>64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 t="n">
        <v>4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 t="n">
        <v>38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ADI NEGORO HERLAMBANG</t>
        </is>
      </c>
      <c r="D16" s="10" t="inlineStr">
        <is>
          <t>520522010029</t>
        </is>
      </c>
      <c r="E16" s="9" t="inlineStr">
        <is>
          <t>IIN NURROHMADANIL</t>
        </is>
      </c>
      <c r="F16" s="10" t="inlineStr">
        <is>
          <t>520526050109</t>
        </is>
      </c>
      <c r="G16" s="8" t="inlineStr">
        <is>
          <t>030</t>
        </is>
      </c>
      <c r="H16" s="8" t="inlineStr">
        <is>
          <t>002</t>
        </is>
      </c>
      <c r="I16" s="8" t="inlineStr">
        <is>
          <t>001400</t>
        </is>
      </c>
      <c r="J16" s="8" t="n">
        <v>54</v>
      </c>
      <c r="K16" s="8" t="n">
        <v>16</v>
      </c>
      <c r="L16" s="8">
        <f>J16+K16</f>
        <v/>
      </c>
      <c r="M16" s="8" t="n">
        <v>65</v>
      </c>
      <c r="N16" s="8" t="n">
        <v>16</v>
      </c>
      <c r="O16" s="8">
        <f>M16+N16</f>
        <v/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ADI NEGORO HERLAMBANG</t>
        </is>
      </c>
      <c r="D17" s="10" t="inlineStr">
        <is>
          <t>520522010029</t>
        </is>
      </c>
      <c r="E17" s="9" t="inlineStr">
        <is>
          <t>IIN NURROHMADANIL</t>
        </is>
      </c>
      <c r="F17" s="10" t="inlineStr">
        <is>
          <t>520526050109</t>
        </is>
      </c>
      <c r="G17" s="8" t="inlineStr">
        <is>
          <t>030</t>
        </is>
      </c>
      <c r="H17" s="8" t="inlineStr">
        <is>
          <t>003</t>
        </is>
      </c>
      <c r="I17" s="8" t="inlineStr">
        <is>
          <t>300600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 t="n">
        <v>0</v>
      </c>
      <c r="O17" s="8">
        <f>M17+N17</f>
        <v/>
      </c>
      <c r="P17" s="8">
        <f>IF(L17=0,100,O17/L17*100)</f>
        <v/>
      </c>
      <c r="Q17" s="11" t="inlineStr"/>
    </row>
    <row r="18">
      <c r="B18" s="8" t="n">
        <v>11</v>
      </c>
      <c r="C18" s="9" t="inlineStr">
        <is>
          <t>ADI NEGORO HERLAMBANG</t>
        </is>
      </c>
      <c r="D18" s="10" t="inlineStr">
        <is>
          <t>520522010029</t>
        </is>
      </c>
      <c r="E18" s="9" t="inlineStr">
        <is>
          <t>IIN NURROHMADANIL</t>
        </is>
      </c>
      <c r="F18" s="10" t="inlineStr">
        <is>
          <t>520526050109</t>
        </is>
      </c>
      <c r="G18" s="8" t="inlineStr">
        <is>
          <t>030</t>
        </is>
      </c>
      <c r="H18" s="8" t="inlineStr">
        <is>
          <t>004</t>
        </is>
      </c>
      <c r="I18" s="8" t="inlineStr">
        <is>
          <t>000700</t>
        </is>
      </c>
      <c r="J18" s="8" t="n">
        <v>53</v>
      </c>
      <c r="K18" s="8" t="n">
        <v>2</v>
      </c>
      <c r="L18" s="8">
        <f>J18+K18</f>
        <v/>
      </c>
      <c r="M18" s="8" t="n">
        <v>60</v>
      </c>
      <c r="N18" s="8" t="n">
        <v>4</v>
      </c>
      <c r="O18" s="8">
        <f>M18+N18</f>
        <v/>
      </c>
      <c r="P18" s="8">
        <f>IF(L18=0,100,O18/L18*100)</f>
        <v/>
      </c>
      <c r="Q18" s="11" t="inlineStr"/>
    </row>
    <row r="19">
      <c r="B19" s="8" t="n">
        <v>12</v>
      </c>
      <c r="C19" s="9" t="inlineStr">
        <is>
          <t>ADI NEGORO HERLAMBANG</t>
        </is>
      </c>
      <c r="D19" s="10" t="inlineStr">
        <is>
          <t>520522010029</t>
        </is>
      </c>
      <c r="E19" s="9" t="inlineStr">
        <is>
          <t>IIN NURROHMADANIL</t>
        </is>
      </c>
      <c r="F19" s="10" t="inlineStr">
        <is>
          <t>520526050109</t>
        </is>
      </c>
      <c r="G19" s="8" t="inlineStr">
        <is>
          <t>030</t>
        </is>
      </c>
      <c r="H19" s="8" t="inlineStr">
        <is>
          <t>004</t>
        </is>
      </c>
      <c r="I19" s="8" t="inlineStr">
        <is>
          <t>001000</t>
        </is>
      </c>
      <c r="J19" s="8" t="n">
        <v>106</v>
      </c>
      <c r="K19" s="8" t="n">
        <v>8</v>
      </c>
      <c r="L19" s="8">
        <f>J19+K19</f>
        <v/>
      </c>
      <c r="M19" s="8" t="n">
        <v>119</v>
      </c>
      <c r="N19" s="8" t="n">
        <v>9</v>
      </c>
      <c r="O19" s="8">
        <f>M19+N19</f>
        <v/>
      </c>
      <c r="P19" s="8">
        <f>IF(L19=0,100,O19/L19*100)</f>
        <v/>
      </c>
      <c r="Q19" s="11" t="inlineStr"/>
    </row>
    <row r="20">
      <c r="B20" s="8" t="n">
        <v>13</v>
      </c>
      <c r="C20" s="9" t="inlineStr">
        <is>
          <t>ADI NEGORO HERLAMBANG</t>
        </is>
      </c>
      <c r="D20" s="10" t="inlineStr">
        <is>
          <t>520522010029</t>
        </is>
      </c>
      <c r="E20" s="9" t="inlineStr">
        <is>
          <t>IIN NURROHMADANIL</t>
        </is>
      </c>
      <c r="F20" s="10" t="inlineStr">
        <is>
          <t>520526050109</t>
        </is>
      </c>
      <c r="G20" s="8" t="inlineStr">
        <is>
          <t>030</t>
        </is>
      </c>
      <c r="H20" s="8" t="inlineStr">
        <is>
          <t>004</t>
        </is>
      </c>
      <c r="I20" s="8" t="inlineStr">
        <is>
          <t>001100</t>
        </is>
      </c>
      <c r="J20" s="8" t="n">
        <v>112</v>
      </c>
      <c r="K20" s="8" t="n">
        <v>16</v>
      </c>
      <c r="L20" s="8">
        <f>J20+K20</f>
        <v/>
      </c>
      <c r="M20" s="8" t="n">
        <v>133</v>
      </c>
      <c r="N20" s="8" t="n">
        <v>16</v>
      </c>
      <c r="O20" s="8">
        <f>M20+N20</f>
        <v/>
      </c>
      <c r="P20" s="8">
        <f>IF(L20=0,100,O20/L20*100)</f>
        <v/>
      </c>
      <c r="Q20" s="11" t="inlineStr"/>
    </row>
    <row r="21">
      <c r="B21" s="8" t="n">
        <v>14</v>
      </c>
      <c r="C21" s="9" t="inlineStr">
        <is>
          <t>ADI NEGORO HERLAMBANG</t>
        </is>
      </c>
      <c r="D21" s="10" t="inlineStr">
        <is>
          <t>520522010029</t>
        </is>
      </c>
      <c r="E21" s="9" t="inlineStr">
        <is>
          <t>IIN NURROHMADANIL</t>
        </is>
      </c>
      <c r="F21" s="10" t="inlineStr">
        <is>
          <t>520526050109</t>
        </is>
      </c>
      <c r="G21" s="8" t="inlineStr">
        <is>
          <t>030</t>
        </is>
      </c>
      <c r="H21" s="8" t="inlineStr">
        <is>
          <t>007</t>
        </is>
      </c>
      <c r="I21" s="8" t="inlineStr">
        <is>
          <t>001100</t>
        </is>
      </c>
      <c r="J21" s="8" t="n">
        <v>102</v>
      </c>
      <c r="K21" s="8" t="n">
        <v>32</v>
      </c>
      <c r="L21" s="8">
        <f>J21+K21</f>
        <v/>
      </c>
      <c r="M21" s="8" t="n">
        <v>110</v>
      </c>
      <c r="N21" s="8" t="n">
        <v>33</v>
      </c>
      <c r="O21" s="8">
        <f>M21+N21</f>
        <v/>
      </c>
      <c r="P21" s="8">
        <f>IF(L21=0,100,O21/L21*100)</f>
        <v/>
      </c>
      <c r="Q21" s="11" t="inlineStr"/>
    </row>
    <row r="22">
      <c r="B22" s="8" t="n">
        <v>15</v>
      </c>
      <c r="C22" s="9" t="inlineStr">
        <is>
          <t>ZORDIAN</t>
        </is>
      </c>
      <c r="D22" s="10" t="inlineStr">
        <is>
          <t>520522020015</t>
        </is>
      </c>
      <c r="E22" s="9" t="inlineStr">
        <is>
          <t>Sarwan</t>
        </is>
      </c>
      <c r="F22" s="10" t="inlineStr">
        <is>
          <t>520526070001</t>
        </is>
      </c>
      <c r="G22" s="8" t="inlineStr">
        <is>
          <t>060</t>
        </is>
      </c>
      <c r="H22" s="8" t="inlineStr">
        <is>
          <t>011</t>
        </is>
      </c>
      <c r="I22" s="8" t="inlineStr">
        <is>
          <t>001000</t>
        </is>
      </c>
      <c r="J22" s="8" t="n">
        <v>66</v>
      </c>
      <c r="K22" s="8" t="n">
        <v>40</v>
      </c>
      <c r="L22" s="8">
        <f>J22+K22</f>
        <v/>
      </c>
      <c r="M22" s="8" t="n">
        <v>36</v>
      </c>
      <c r="N22" s="8" t="n">
        <v>21</v>
      </c>
      <c r="O22" s="8">
        <f>M22+N22</f>
        <v/>
      </c>
      <c r="P22" s="8">
        <f>IF(L22=0,100,O22/L22*100)</f>
        <v/>
      </c>
      <c r="Q22" s="11" t="inlineStr"/>
    </row>
    <row r="23">
      <c r="B23" s="8" t="n">
        <v>16</v>
      </c>
      <c r="C23" s="9" t="inlineStr">
        <is>
          <t>ZORDIAN</t>
        </is>
      </c>
      <c r="D23" s="10" t="inlineStr">
        <is>
          <t>520522020015</t>
        </is>
      </c>
      <c r="E23" s="9" t="inlineStr">
        <is>
          <t>Sarwan</t>
        </is>
      </c>
      <c r="F23" s="10" t="inlineStr">
        <is>
          <t>520526070001</t>
        </is>
      </c>
      <c r="G23" s="8" t="inlineStr">
        <is>
          <t>060</t>
        </is>
      </c>
      <c r="H23" s="8" t="inlineStr">
        <is>
          <t>011</t>
        </is>
      </c>
      <c r="I23" s="8" t="inlineStr">
        <is>
          <t>001100</t>
        </is>
      </c>
      <c r="J23" s="8" t="n">
        <v>49</v>
      </c>
      <c r="K23" s="8" t="n">
        <v>23</v>
      </c>
      <c r="L23" s="8">
        <f>J23+K23</f>
        <v/>
      </c>
      <c r="M23" s="8" t="n">
        <v>50</v>
      </c>
      <c r="N23" s="8" t="n">
        <v>19</v>
      </c>
      <c r="O23" s="8">
        <f>M23+N23</f>
        <v/>
      </c>
      <c r="P23" s="8">
        <f>IF(L23=0,100,O23/L23*100)</f>
        <v/>
      </c>
      <c r="Q23" s="11" t="inlineStr"/>
    </row>
    <row r="24">
      <c r="B24" s="8" t="n">
        <v>17</v>
      </c>
      <c r="C24" s="9" t="inlineStr">
        <is>
          <t>ZORDIAN</t>
        </is>
      </c>
      <c r="D24" s="10" t="inlineStr">
        <is>
          <t>520522020015</t>
        </is>
      </c>
      <c r="E24" s="9" t="inlineStr">
        <is>
          <t>Sarwan</t>
        </is>
      </c>
      <c r="F24" s="10" t="inlineStr">
        <is>
          <t>520526070001</t>
        </is>
      </c>
      <c r="G24" s="8" t="inlineStr">
        <is>
          <t>060</t>
        </is>
      </c>
      <c r="H24" s="8" t="inlineStr">
        <is>
          <t>011</t>
        </is>
      </c>
      <c r="I24" s="8" t="inlineStr">
        <is>
          <t>001200</t>
        </is>
      </c>
      <c r="J24" s="8" t="n">
        <v>8</v>
      </c>
      <c r="K24" s="8" t="n">
        <v>52</v>
      </c>
      <c r="L24" s="8">
        <f>J24+K24</f>
        <v/>
      </c>
      <c r="M24" s="8" t="n">
        <v>9</v>
      </c>
      <c r="N24" s="8" t="n">
        <v>52</v>
      </c>
      <c r="O24" s="8">
        <f>M24+N24</f>
        <v/>
      </c>
      <c r="P24" s="8">
        <f>IF(L24=0,100,O24/L24*100)</f>
        <v/>
      </c>
      <c r="Q24" s="11" t="inlineStr"/>
    </row>
    <row r="25">
      <c r="B25" s="8" t="n">
        <v>18</v>
      </c>
      <c r="C25" s="9" t="inlineStr">
        <is>
          <t>ZORDIAN</t>
        </is>
      </c>
      <c r="D25" s="10" t="inlineStr">
        <is>
          <t>520522020015</t>
        </is>
      </c>
      <c r="E25" s="9" t="inlineStr">
        <is>
          <t>Sarwan</t>
        </is>
      </c>
      <c r="F25" s="10" t="inlineStr">
        <is>
          <t>520526070001</t>
        </is>
      </c>
      <c r="G25" s="8" t="inlineStr">
        <is>
          <t>060</t>
        </is>
      </c>
      <c r="H25" s="8" t="inlineStr">
        <is>
          <t>011</t>
        </is>
      </c>
      <c r="I25" s="8" t="inlineStr">
        <is>
          <t>001300</t>
        </is>
      </c>
      <c r="J25" s="8" t="n">
        <v>4</v>
      </c>
      <c r="K25" s="8" t="n">
        <v>13</v>
      </c>
      <c r="L25" s="8">
        <f>J25+K25</f>
        <v/>
      </c>
      <c r="M25" s="8" t="n">
        <v>3</v>
      </c>
      <c r="N25" s="8" t="n">
        <v>12</v>
      </c>
      <c r="O25" s="8">
        <f>M25+N25</f>
        <v/>
      </c>
      <c r="P25" s="8">
        <f>IF(L25=0,100,O25/L25*100)</f>
        <v/>
      </c>
      <c r="Q25" s="11" t="inlineStr"/>
    </row>
    <row r="26">
      <c r="B26" s="8" t="n">
        <v>19</v>
      </c>
      <c r="C26" s="9" t="inlineStr">
        <is>
          <t>ZORDIAN</t>
        </is>
      </c>
      <c r="D26" s="10" t="inlineStr">
        <is>
          <t>520522020015</t>
        </is>
      </c>
      <c r="E26" s="9" t="inlineStr">
        <is>
          <t>Sarwan</t>
        </is>
      </c>
      <c r="F26" s="10" t="inlineStr">
        <is>
          <t>520526070001</t>
        </is>
      </c>
      <c r="G26" s="8" t="inlineStr">
        <is>
          <t>060</t>
        </is>
      </c>
      <c r="H26" s="8" t="inlineStr">
        <is>
          <t>011</t>
        </is>
      </c>
      <c r="I26" s="8" t="inlineStr">
        <is>
          <t>001400</t>
        </is>
      </c>
      <c r="J26" s="8" t="n">
        <v>20</v>
      </c>
      <c r="K26" s="8" t="n">
        <v>8</v>
      </c>
      <c r="L26" s="8">
        <f>J26+K26</f>
        <v/>
      </c>
      <c r="M26" s="8" t="n">
        <v>7</v>
      </c>
      <c r="N26" s="8" t="n">
        <v>7</v>
      </c>
      <c r="O26" s="8">
        <f>M26+N26</f>
        <v/>
      </c>
      <c r="P26" s="8">
        <f>IF(L26=0,100,O26/L26*100)</f>
        <v/>
      </c>
      <c r="Q26" s="11" t="inlineStr"/>
    </row>
    <row r="27">
      <c r="B27" s="8" t="n">
        <v>20</v>
      </c>
      <c r="C27" s="9" t="inlineStr">
        <is>
          <t>ZORDIAN</t>
        </is>
      </c>
      <c r="D27" s="10" t="inlineStr">
        <is>
          <t>520522020015</t>
        </is>
      </c>
      <c r="E27" s="9" t="inlineStr">
        <is>
          <t>Sarwan</t>
        </is>
      </c>
      <c r="F27" s="10" t="inlineStr">
        <is>
          <t>520526070001</t>
        </is>
      </c>
      <c r="G27" s="8" t="inlineStr">
        <is>
          <t>060</t>
        </is>
      </c>
      <c r="H27" s="8" t="inlineStr">
        <is>
          <t>011</t>
        </is>
      </c>
      <c r="I27" s="8" t="inlineStr">
        <is>
          <t>001600</t>
        </is>
      </c>
      <c r="J27" s="8" t="n">
        <v>34</v>
      </c>
      <c r="K27" s="8" t="n">
        <v>8</v>
      </c>
      <c r="L27" s="8">
        <f>J27+K27</f>
        <v/>
      </c>
      <c r="M27" s="8" t="n">
        <v>30</v>
      </c>
      <c r="N27" s="8" t="n">
        <v>6</v>
      </c>
      <c r="O27" s="8">
        <f>M27+N27</f>
        <v/>
      </c>
      <c r="P27" s="8">
        <f>IF(L27=0,100,O27/L27*100)</f>
        <v/>
      </c>
      <c r="Q27" s="11" t="inlineStr"/>
    </row>
    <row r="28">
      <c r="B28" s="8" t="n">
        <v>21</v>
      </c>
      <c r="C28" s="9" t="inlineStr">
        <is>
          <t>ZORDIAN</t>
        </is>
      </c>
      <c r="D28" s="10" t="inlineStr">
        <is>
          <t>520522020015</t>
        </is>
      </c>
      <c r="E28" s="9" t="inlineStr">
        <is>
          <t>Sarwan</t>
        </is>
      </c>
      <c r="F28" s="10" t="inlineStr">
        <is>
          <t>520526070001</t>
        </is>
      </c>
      <c r="G28" s="8" t="inlineStr">
        <is>
          <t>060</t>
        </is>
      </c>
      <c r="H28" s="8" t="inlineStr">
        <is>
          <t>011</t>
        </is>
      </c>
      <c r="I28" s="8" t="inlineStr">
        <is>
          <t>001700</t>
        </is>
      </c>
      <c r="J28" s="8" t="n">
        <v>20</v>
      </c>
      <c r="K28" s="8" t="n">
        <v>10</v>
      </c>
      <c r="L28" s="8">
        <f>J28+K28</f>
        <v/>
      </c>
      <c r="M28" s="8" t="n">
        <v>22</v>
      </c>
      <c r="N28" s="8" t="n">
        <v>10</v>
      </c>
      <c r="O28" s="8">
        <f>M28+N28</f>
        <v/>
      </c>
      <c r="P28" s="8">
        <f>IF(L28=0,100,O28/L28*100)</f>
        <v/>
      </c>
      <c r="Q28" s="11" t="inlineStr"/>
    </row>
    <row r="29">
      <c r="B29" s="8" t="n">
        <v>22</v>
      </c>
      <c r="C29" s="9" t="inlineStr">
        <is>
          <t>ZORDIAN</t>
        </is>
      </c>
      <c r="D29" s="10" t="inlineStr">
        <is>
          <t>520522020015</t>
        </is>
      </c>
      <c r="E29" s="9" t="inlineStr">
        <is>
          <t>Sarwan</t>
        </is>
      </c>
      <c r="F29" s="10" t="inlineStr">
        <is>
          <t>520526070001</t>
        </is>
      </c>
      <c r="G29" s="8" t="inlineStr">
        <is>
          <t>060</t>
        </is>
      </c>
      <c r="H29" s="8" t="inlineStr">
        <is>
          <t>011</t>
        </is>
      </c>
      <c r="I29" s="8" t="inlineStr">
        <is>
          <t>002100</t>
        </is>
      </c>
      <c r="J29" s="8" t="n">
        <v>4</v>
      </c>
      <c r="K29" s="8" t="n">
        <v>3</v>
      </c>
      <c r="L29" s="8">
        <f>J29+K29</f>
        <v/>
      </c>
      <c r="M29" s="8" t="n">
        <v>4</v>
      </c>
      <c r="N29" s="8" t="n">
        <v>3</v>
      </c>
      <c r="O29" s="8">
        <f>M29+N29</f>
        <v/>
      </c>
      <c r="P29" s="8">
        <f>IF(L29=0,100,O29/L29*100)</f>
        <v/>
      </c>
      <c r="Q29" s="11" t="inlineStr"/>
    </row>
    <row r="30">
      <c r="B30" s="8" t="n">
        <v>23</v>
      </c>
      <c r="C30" s="9" t="inlineStr">
        <is>
          <t>ZORDIAN</t>
        </is>
      </c>
      <c r="D30" s="10" t="inlineStr">
        <is>
          <t>520522020015</t>
        </is>
      </c>
      <c r="E30" s="9" t="inlineStr">
        <is>
          <t>Sarwan</t>
        </is>
      </c>
      <c r="F30" s="10" t="inlineStr">
        <is>
          <t>520526070001</t>
        </is>
      </c>
      <c r="G30" s="8" t="inlineStr">
        <is>
          <t>060</t>
        </is>
      </c>
      <c r="H30" s="8" t="inlineStr">
        <is>
          <t>011</t>
        </is>
      </c>
      <c r="I30" s="8" t="inlineStr">
        <is>
          <t>002400</t>
        </is>
      </c>
      <c r="J30" s="8" t="n">
        <v>25</v>
      </c>
      <c r="K30" s="8" t="n">
        <v>6</v>
      </c>
      <c r="L30" s="8">
        <f>J30+K30</f>
        <v/>
      </c>
      <c r="M30" s="8" t="n">
        <v>25</v>
      </c>
      <c r="N30" s="8" t="n">
        <v>6</v>
      </c>
      <c r="O30" s="8">
        <f>M30+N30</f>
        <v/>
      </c>
      <c r="P30" s="8">
        <f>IF(L30=0,100,O30/L30*100)</f>
        <v/>
      </c>
      <c r="Q30" s="11" t="inlineStr"/>
    </row>
    <row r="31">
      <c r="B31" s="12" t="inlineStr">
        <is>
          <t>Jumlah</t>
        </is>
      </c>
      <c r="C31" s="13" t="n"/>
      <c r="D31" s="13" t="n"/>
      <c r="E31" s="13" t="n"/>
      <c r="F31" s="13" t="n"/>
      <c r="G31" s="13" t="n"/>
      <c r="H31" s="13" t="n"/>
      <c r="I31" s="14" t="n"/>
      <c r="J31" s="15">
        <f>SUM(J8:J30)</f>
        <v/>
      </c>
      <c r="K31" s="15">
        <f>SUM(K8:K30)</f>
        <v/>
      </c>
      <c r="L31" s="12">
        <f>SUM(L8:L30)</f>
        <v/>
      </c>
      <c r="M31" s="15">
        <f>SUM(M8:M30)</f>
        <v/>
      </c>
      <c r="N31" s="15">
        <f>SUM(N8:N30)</f>
        <v/>
      </c>
      <c r="O31" s="12">
        <f>SUM(O8:O30)</f>
        <v/>
      </c>
      <c r="P31" s="12">
        <f>IF(L31=0,100,O31/L31*100)</f>
        <v/>
      </c>
      <c r="Q31" s="10" t="inlineStr"/>
    </row>
    <row r="32"/>
    <row r="33">
      <c r="B33" s="16" t="inlineStr">
        <is>
          <t>Keterangan:</t>
        </is>
      </c>
    </row>
    <row r="34">
      <c r="B34" s="17" t="inlineStr">
        <is>
          <t>*) Target Usaha = Jumlah Usaha Prelist Awal BKU (kode sintetis 90002 = UB+UM+UMK Prelist Awal, kode 108+109+110 Dashboard SE2026).</t>
        </is>
      </c>
    </row>
    <row r="35">
      <c r="B35" s="17" t="inlineStr">
        <is>
          <t>*) Target Keluarga = Jumlah Keluarga Prelist Awal (kode indikator 14 Dashboard SE2026).</t>
        </is>
      </c>
    </row>
    <row r="36">
      <c r="B36" s="17" t="inlineStr">
        <is>
          <t>*) Realisasi Usaha = HANYA Usaha BKU/mandiri (Tidak Ditemukan+Ditemukan+Ditutup+Ganda+Baru, kode 10247/10264/10265/10266/10268). Usaha dalam Keluarga TIDAK diikutkan.</t>
        </is>
      </c>
    </row>
    <row r="37">
      <c r="B37" s="17" t="inlineStr">
        <is>
          <t>*) Realisasi Keluarga = seluruh keluarga yang sudah diproses (Ditemukan+Meninggal+Tidak Eligible+Tidak Dapat Ditemui+Tidak Ditemukan+Baru+Menolak Didata+Bersedia Didata+Keluarga Khusus).</t>
        </is>
      </c>
    </row>
    <row r="38">
      <c r="B38" s="17" t="inlineStr">
        <is>
          <t>*) Kolom 'ID Sobat' diisi ID/username sistem (belum ada data username email SOBAT resmi).</t>
        </is>
      </c>
    </row>
    <row r="39">
      <c r="B39" s="17" t="inlineStr">
        <is>
          <t>*) Baris berlatar KUNING = SLS PRIORITAS. Untuk 3 petugas pengganti di batch ini TIDAK ADA SLS prioritas (0 dari 23 baris), sesuai arahan -- kolom sls.prioritas di database diabaikan untuk batch ini.</t>
        </is>
      </c>
    </row>
    <row r="40">
      <c r="B40" s="17" t="inlineStr">
        <is>
          <t>*) Kolom Keluarga &amp; Usaha di baris 'Jumlah' (Target maupun Realisasi) dibuat hitam solid (nilai tetap ada di formula, cuma disembunyikan visualnya).</t>
        </is>
      </c>
    </row>
    <row r="41">
      <c r="B41" s="17" t="inlineStr">
        <is>
          <t>*) Persentase: kalau Target Prelist = 0, ditampilkan 100% (bukan 0%) karena tidak ada target berarti otomatis terpenuhi.</t>
        </is>
      </c>
    </row>
    <row r="42">
      <c r="B42" s="17" t="inlineStr">
        <is>
          <t>*) LK BATCH 4 (PETUGAS PENGGANTI) -- berisi 3 petugas pengganti yang sebelumnya dikecualikan dari BATCH 3 (Moh Naufal, IIN NURROHMADANIL, Sarwan). Ketiganya kini sudah punya penugasan SLS di database dan diikutkan pembayaran Termin 1 lewat batch ini.</t>
        </is>
      </c>
    </row>
    <row r="43">
      <c r="B43" s="17" t="inlineStr">
        <is>
          <t>*) Data ditarik dari se2026 (10).sql per 2026-08-10.</t>
        </is>
      </c>
    </row>
    <row r="44">
      <c r="B44" s="17" t="inlineStr">
        <is>
          <t>*) Sheet 'REKAP Semua PPL' = gabungan semua petugas. Sheet lain per nama petugas = detail masing-masing.</t>
        </is>
      </c>
    </row>
  </sheetData>
  <mergeCells count="13">
    <mergeCell ref="G5:G6"/>
    <mergeCell ref="P5:P6"/>
    <mergeCell ref="J5:L5"/>
    <mergeCell ref="H5:H6"/>
    <mergeCell ref="Q5:Q6"/>
    <mergeCell ref="B31:I3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Moh Naufal  |  PML: BUHARI SALAM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 t="n">
        <v>36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 t="n">
        <v>64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 t="n">
        <v>4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 t="n">
        <v>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 t="n">
        <v>38</v>
      </c>
      <c r="O15" s="8">
        <f>M15+N15</f>
        <v/>
      </c>
      <c r="P15" s="8">
        <f>IF(L15=0,100,O15/L15*100)</f>
        <v/>
      </c>
      <c r="Q15" s="11" t="inlineStr"/>
    </row>
    <row r="16">
      <c r="B16" s="12" t="inlineStr">
        <is>
          <t>Jumlah</t>
        </is>
      </c>
      <c r="C16" s="13" t="n"/>
      <c r="D16" s="13" t="n"/>
      <c r="E16" s="13" t="n"/>
      <c r="F16" s="13" t="n"/>
      <c r="G16" s="13" t="n"/>
      <c r="H16" s="13" t="n"/>
      <c r="I16" s="14" t="n"/>
      <c r="J16" s="15">
        <f>SUM(J8:J15)</f>
        <v/>
      </c>
      <c r="K16" s="15">
        <f>SUM(K8:K15)</f>
        <v/>
      </c>
      <c r="L16" s="12">
        <f>SUM(L8:L15)</f>
        <v/>
      </c>
      <c r="M16" s="15">
        <f>SUM(M8:M15)</f>
        <v/>
      </c>
      <c r="N16" s="15">
        <f>SUM(N8:N15)</f>
        <v/>
      </c>
      <c r="O16" s="12">
        <f>SUM(O8:O15)</f>
        <v/>
      </c>
      <c r="P16" s="12">
        <f>IF(L16=0,100,O16/L16*100)</f>
        <v/>
      </c>
      <c r="Q16" s="10" t="inlineStr"/>
    </row>
  </sheetData>
  <mergeCells count="13">
    <mergeCell ref="G5:G6"/>
    <mergeCell ref="P5:P6"/>
    <mergeCell ref="J5:L5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IIN NURROHMADANIL  |  PML: ADI NEGORO HERLAMBANG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IIN NURROHMADANIL</t>
        </is>
      </c>
      <c r="F8" s="10" t="inlineStr">
        <is>
          <t>520526050109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001400</t>
        </is>
      </c>
      <c r="J8" s="8" t="n">
        <v>54</v>
      </c>
      <c r="K8" s="8" t="n">
        <v>16</v>
      </c>
      <c r="L8" s="8">
        <f>J8+K8</f>
        <v/>
      </c>
      <c r="M8" s="8" t="n">
        <v>65</v>
      </c>
      <c r="N8" s="8" t="n">
        <v>16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IIN NURROHMADANIL</t>
        </is>
      </c>
      <c r="F9" s="10" t="inlineStr">
        <is>
          <t>520526050109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300600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ADI NEGORO HERLAMBANG</t>
        </is>
      </c>
      <c r="D10" s="10" t="inlineStr">
        <is>
          <t>520522010029</t>
        </is>
      </c>
      <c r="E10" s="9" t="inlineStr">
        <is>
          <t>IIN NURROHMADANIL</t>
        </is>
      </c>
      <c r="F10" s="10" t="inlineStr">
        <is>
          <t>520526050109</t>
        </is>
      </c>
      <c r="G10" s="8" t="inlineStr">
        <is>
          <t>030</t>
        </is>
      </c>
      <c r="H10" s="8" t="inlineStr">
        <is>
          <t>004</t>
        </is>
      </c>
      <c r="I10" s="8" t="inlineStr">
        <is>
          <t>000700</t>
        </is>
      </c>
      <c r="J10" s="8" t="n">
        <v>53</v>
      </c>
      <c r="K10" s="8" t="n">
        <v>2</v>
      </c>
      <c r="L10" s="8">
        <f>J10+K10</f>
        <v/>
      </c>
      <c r="M10" s="8" t="n">
        <v>60</v>
      </c>
      <c r="N10" s="8" t="n">
        <v>4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IIN NURROHMADANIL</t>
        </is>
      </c>
      <c r="F11" s="10" t="inlineStr">
        <is>
          <t>520526050109</t>
        </is>
      </c>
      <c r="G11" s="8" t="inlineStr">
        <is>
          <t>030</t>
        </is>
      </c>
      <c r="H11" s="8" t="inlineStr">
        <is>
          <t>004</t>
        </is>
      </c>
      <c r="I11" s="8" t="inlineStr">
        <is>
          <t>001000</t>
        </is>
      </c>
      <c r="J11" s="8" t="n">
        <v>106</v>
      </c>
      <c r="K11" s="8" t="n">
        <v>8</v>
      </c>
      <c r="L11" s="8">
        <f>J11+K11</f>
        <v/>
      </c>
      <c r="M11" s="8" t="n">
        <v>119</v>
      </c>
      <c r="N11" s="8" t="n">
        <v>9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IIN NURROHMADANIL</t>
        </is>
      </c>
      <c r="F12" s="10" t="inlineStr">
        <is>
          <t>520526050109</t>
        </is>
      </c>
      <c r="G12" s="8" t="inlineStr">
        <is>
          <t>030</t>
        </is>
      </c>
      <c r="H12" s="8" t="inlineStr">
        <is>
          <t>004</t>
        </is>
      </c>
      <c r="I12" s="8" t="inlineStr">
        <is>
          <t>001100</t>
        </is>
      </c>
      <c r="J12" s="8" t="n">
        <v>112</v>
      </c>
      <c r="K12" s="8" t="n">
        <v>16</v>
      </c>
      <c r="L12" s="8">
        <f>J12+K12</f>
        <v/>
      </c>
      <c r="M12" s="8" t="n">
        <v>133</v>
      </c>
      <c r="N12" s="8" t="n">
        <v>16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ADI NEGORO HERLAMBANG</t>
        </is>
      </c>
      <c r="D13" s="10" t="inlineStr">
        <is>
          <t>520522010029</t>
        </is>
      </c>
      <c r="E13" s="9" t="inlineStr">
        <is>
          <t>IIN NURROHMADANIL</t>
        </is>
      </c>
      <c r="F13" s="10" t="inlineStr">
        <is>
          <t>520526050109</t>
        </is>
      </c>
      <c r="G13" s="8" t="inlineStr">
        <is>
          <t>030</t>
        </is>
      </c>
      <c r="H13" s="8" t="inlineStr">
        <is>
          <t>007</t>
        </is>
      </c>
      <c r="I13" s="8" t="inlineStr">
        <is>
          <t>001100</t>
        </is>
      </c>
      <c r="J13" s="8" t="n">
        <v>102</v>
      </c>
      <c r="K13" s="8" t="n">
        <v>32</v>
      </c>
      <c r="L13" s="8">
        <f>J13+K13</f>
        <v/>
      </c>
      <c r="M13" s="8" t="n">
        <v>110</v>
      </c>
      <c r="N13" s="8" t="n">
        <v>33</v>
      </c>
      <c r="O13" s="8">
        <f>M13+N13</f>
        <v/>
      </c>
      <c r="P13" s="8">
        <f>IF(L13=0,100,O13/L13*100)</f>
        <v/>
      </c>
      <c r="Q13" s="11" t="inlineStr"/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B14:I14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Sarwan  |  PML: ZORDIAN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(BKU)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ZORDIAN</t>
        </is>
      </c>
      <c r="D8" s="10" t="inlineStr">
        <is>
          <t>520522020015</t>
        </is>
      </c>
      <c r="E8" s="9" t="inlineStr">
        <is>
          <t>Sarwan</t>
        </is>
      </c>
      <c r="F8" s="10" t="inlineStr">
        <is>
          <t>520526070001</t>
        </is>
      </c>
      <c r="G8" s="8" t="inlineStr">
        <is>
          <t>060</t>
        </is>
      </c>
      <c r="H8" s="8" t="inlineStr">
        <is>
          <t>011</t>
        </is>
      </c>
      <c r="I8" s="8" t="inlineStr">
        <is>
          <t>001000</t>
        </is>
      </c>
      <c r="J8" s="8" t="n">
        <v>66</v>
      </c>
      <c r="K8" s="8" t="n">
        <v>40</v>
      </c>
      <c r="L8" s="8">
        <f>J8+K8</f>
        <v/>
      </c>
      <c r="M8" s="8" t="n">
        <v>36</v>
      </c>
      <c r="N8" s="8" t="n">
        <v>21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Sarwan</t>
        </is>
      </c>
      <c r="F9" s="10" t="inlineStr">
        <is>
          <t>520526070001</t>
        </is>
      </c>
      <c r="G9" s="8" t="inlineStr">
        <is>
          <t>060</t>
        </is>
      </c>
      <c r="H9" s="8" t="inlineStr">
        <is>
          <t>011</t>
        </is>
      </c>
      <c r="I9" s="8" t="inlineStr">
        <is>
          <t>001100</t>
        </is>
      </c>
      <c r="J9" s="8" t="n">
        <v>49</v>
      </c>
      <c r="K9" s="8" t="n">
        <v>23</v>
      </c>
      <c r="L9" s="8">
        <f>J9+K9</f>
        <v/>
      </c>
      <c r="M9" s="8" t="n">
        <v>50</v>
      </c>
      <c r="N9" s="8" t="n">
        <v>19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Sarwan</t>
        </is>
      </c>
      <c r="F10" s="10" t="inlineStr">
        <is>
          <t>520526070001</t>
        </is>
      </c>
      <c r="G10" s="8" t="inlineStr">
        <is>
          <t>060</t>
        </is>
      </c>
      <c r="H10" s="8" t="inlineStr">
        <is>
          <t>011</t>
        </is>
      </c>
      <c r="I10" s="8" t="inlineStr">
        <is>
          <t>001200</t>
        </is>
      </c>
      <c r="J10" s="8" t="n">
        <v>8</v>
      </c>
      <c r="K10" s="8" t="n">
        <v>52</v>
      </c>
      <c r="L10" s="8">
        <f>J10+K10</f>
        <v/>
      </c>
      <c r="M10" s="8" t="n">
        <v>9</v>
      </c>
      <c r="N10" s="8" t="n">
        <v>52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Sarwan</t>
        </is>
      </c>
      <c r="F11" s="10" t="inlineStr">
        <is>
          <t>520526070001</t>
        </is>
      </c>
      <c r="G11" s="8" t="inlineStr">
        <is>
          <t>060</t>
        </is>
      </c>
      <c r="H11" s="8" t="inlineStr">
        <is>
          <t>011</t>
        </is>
      </c>
      <c r="I11" s="8" t="inlineStr">
        <is>
          <t>001300</t>
        </is>
      </c>
      <c r="J11" s="8" t="n">
        <v>4</v>
      </c>
      <c r="K11" s="8" t="n">
        <v>13</v>
      </c>
      <c r="L11" s="8">
        <f>J11+K11</f>
        <v/>
      </c>
      <c r="M11" s="8" t="n">
        <v>3</v>
      </c>
      <c r="N11" s="8" t="n">
        <v>12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ZORDIAN</t>
        </is>
      </c>
      <c r="D12" s="10" t="inlineStr">
        <is>
          <t>520522020015</t>
        </is>
      </c>
      <c r="E12" s="9" t="inlineStr">
        <is>
          <t>Sarwan</t>
        </is>
      </c>
      <c r="F12" s="10" t="inlineStr">
        <is>
          <t>520526070001</t>
        </is>
      </c>
      <c r="G12" s="8" t="inlineStr">
        <is>
          <t>060</t>
        </is>
      </c>
      <c r="H12" s="8" t="inlineStr">
        <is>
          <t>011</t>
        </is>
      </c>
      <c r="I12" s="8" t="inlineStr">
        <is>
          <t>001400</t>
        </is>
      </c>
      <c r="J12" s="8" t="n">
        <v>20</v>
      </c>
      <c r="K12" s="8" t="n">
        <v>8</v>
      </c>
      <c r="L12" s="8">
        <f>J12+K12</f>
        <v/>
      </c>
      <c r="M12" s="8" t="n">
        <v>7</v>
      </c>
      <c r="N12" s="8" t="n">
        <v>7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Sarwan</t>
        </is>
      </c>
      <c r="F13" s="10" t="inlineStr">
        <is>
          <t>520526070001</t>
        </is>
      </c>
      <c r="G13" s="8" t="inlineStr">
        <is>
          <t>060</t>
        </is>
      </c>
      <c r="H13" s="8" t="inlineStr">
        <is>
          <t>011</t>
        </is>
      </c>
      <c r="I13" s="8" t="inlineStr">
        <is>
          <t>001600</t>
        </is>
      </c>
      <c r="J13" s="8" t="n">
        <v>34</v>
      </c>
      <c r="K13" s="8" t="n">
        <v>8</v>
      </c>
      <c r="L13" s="8">
        <f>J13+K13</f>
        <v/>
      </c>
      <c r="M13" s="8" t="n">
        <v>30</v>
      </c>
      <c r="N13" s="8" t="n">
        <v>6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ZORDIAN</t>
        </is>
      </c>
      <c r="D14" s="10" t="inlineStr">
        <is>
          <t>520522020015</t>
        </is>
      </c>
      <c r="E14" s="9" t="inlineStr">
        <is>
          <t>Sarwan</t>
        </is>
      </c>
      <c r="F14" s="10" t="inlineStr">
        <is>
          <t>520526070001</t>
        </is>
      </c>
      <c r="G14" s="8" t="inlineStr">
        <is>
          <t>060</t>
        </is>
      </c>
      <c r="H14" s="8" t="inlineStr">
        <is>
          <t>011</t>
        </is>
      </c>
      <c r="I14" s="8" t="inlineStr">
        <is>
          <t>001700</t>
        </is>
      </c>
      <c r="J14" s="8" t="n">
        <v>20</v>
      </c>
      <c r="K14" s="8" t="n">
        <v>10</v>
      </c>
      <c r="L14" s="8">
        <f>J14+K14</f>
        <v/>
      </c>
      <c r="M14" s="8" t="n">
        <v>22</v>
      </c>
      <c r="N14" s="8" t="n">
        <v>10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ZORDIAN</t>
        </is>
      </c>
      <c r="D15" s="10" t="inlineStr">
        <is>
          <t>520522020015</t>
        </is>
      </c>
      <c r="E15" s="9" t="inlineStr">
        <is>
          <t>Sarwan</t>
        </is>
      </c>
      <c r="F15" s="10" t="inlineStr">
        <is>
          <t>520526070001</t>
        </is>
      </c>
      <c r="G15" s="8" t="inlineStr">
        <is>
          <t>060</t>
        </is>
      </c>
      <c r="H15" s="8" t="inlineStr">
        <is>
          <t>011</t>
        </is>
      </c>
      <c r="I15" s="8" t="inlineStr">
        <is>
          <t>002100</t>
        </is>
      </c>
      <c r="J15" s="8" t="n">
        <v>4</v>
      </c>
      <c r="K15" s="8" t="n">
        <v>3</v>
      </c>
      <c r="L15" s="8">
        <f>J15+K15</f>
        <v/>
      </c>
      <c r="M15" s="8" t="n">
        <v>4</v>
      </c>
      <c r="N15" s="8" t="n">
        <v>3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Sarwan</t>
        </is>
      </c>
      <c r="F16" s="10" t="inlineStr">
        <is>
          <t>520526070001</t>
        </is>
      </c>
      <c r="G16" s="8" t="inlineStr">
        <is>
          <t>060</t>
        </is>
      </c>
      <c r="H16" s="8" t="inlineStr">
        <is>
          <t>011</t>
        </is>
      </c>
      <c r="I16" s="8" t="inlineStr">
        <is>
          <t>002400</t>
        </is>
      </c>
      <c r="J16" s="8" t="n">
        <v>25</v>
      </c>
      <c r="K16" s="8" t="n">
        <v>6</v>
      </c>
      <c r="L16" s="8">
        <f>J16+K16</f>
        <v/>
      </c>
      <c r="M16" s="8" t="n">
        <v>25</v>
      </c>
      <c r="N16" s="8" t="n">
        <v>6</v>
      </c>
      <c r="O16" s="8">
        <f>M16+N16</f>
        <v/>
      </c>
      <c r="P16" s="8">
        <f>IF(L16=0,100,O16/L16*100)</f>
        <v/>
      </c>
      <c r="Q16" s="11" t="inlineStr"/>
    </row>
    <row r="17">
      <c r="B17" s="12" t="inlineStr">
        <is>
          <t>Jumlah</t>
        </is>
      </c>
      <c r="C17" s="13" t="n"/>
      <c r="D17" s="13" t="n"/>
      <c r="E17" s="13" t="n"/>
      <c r="F17" s="13" t="n"/>
      <c r="G17" s="13" t="n"/>
      <c r="H17" s="13" t="n"/>
      <c r="I17" s="14" t="n"/>
      <c r="J17" s="15">
        <f>SUM(J8:J16)</f>
        <v/>
      </c>
      <c r="K17" s="15">
        <f>SUM(K8:K16)</f>
        <v/>
      </c>
      <c r="L17" s="12">
        <f>SUM(L8:L16)</f>
        <v/>
      </c>
      <c r="M17" s="15">
        <f>SUM(M8:M16)</f>
        <v/>
      </c>
      <c r="N17" s="15">
        <f>SUM(N8:N16)</f>
        <v/>
      </c>
      <c r="O17" s="12">
        <f>SUM(O8:O16)</f>
        <v/>
      </c>
      <c r="P17" s="12">
        <f>IF(L17=0,100,O17/L17*100)</f>
        <v/>
      </c>
      <c r="Q17" s="10" t="inlineStr"/>
    </row>
  </sheetData>
  <mergeCells count="13">
    <mergeCell ref="G5:G6"/>
    <mergeCell ref="P5:P6"/>
    <mergeCell ref="J5:L5"/>
    <mergeCell ref="H5:H6"/>
    <mergeCell ref="Q5:Q6"/>
    <mergeCell ref="B17:I17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2026-08-10T00:00:00Z</dcterms:created>
  <dcterms:modified xmlns:dcterms="http://purl.org/dc/terms/" xmlns:xsi="http://www.w3.org/2001/XMLSchema-instance" xsi:type="dcterms:W3CDTF">2026-08-10T00:00:00Z</dcterms:modified>
</cp:coreProperties>
</file>